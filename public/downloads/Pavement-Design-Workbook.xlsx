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raffic" sheetId="3" state="visible" r:id="rId3"/>
    <sheet name="Subgrade" sheetId="4" state="visible" r:id="rId4"/>
    <sheet name="Materials" sheetId="5" state="visible" r:id="rId5"/>
    <sheet name="Flexible-AASHTO" sheetId="6" state="visible" r:id="rId6"/>
    <sheet name="Flexible-IRC37" sheetId="7" state="visible" r:id="rId7"/>
    <sheet name="Flexible-ORN31" sheetId="8" state="visible" r:id="rId8"/>
    <sheet name="Flexible-DoR" sheetId="9" state="visible" r:id="rId9"/>
    <sheet name="Rigid-AASHTO" sheetId="10" state="visible" r:id="rId10"/>
    <sheet name="Rigid-IRC58" sheetId="11" state="visible" r:id="rId11"/>
    <sheet name="Combined" sheetId="12" state="visible" r:id="rId12"/>
    <sheet name="Summary" sheetId="13" state="visible" r:id="rId13"/>
    <sheet name="References" sheetId="14" state="visible" r:id="rId14"/>
    <sheet name="Calc" sheetId="15" state="hidden" r:id="rId15"/>
  </sheets>
  <definedNames>
    <definedName name="ORN_TB">Calc!$A$4:$A$11</definedName>
    <definedName name="ORN_TL">Calc!$B$4:$B$11</definedName>
    <definedName name="ORN_SB">Calc!$D$4:$D$9</definedName>
    <definedName name="ORN_SL">Calc!$E$4:$E$9</definedName>
    <definedName name="ORN_RBL">Calc!$G$4:$G$11</definedName>
    <definedName name="ORN_RBV">Calc!$H$4:$H$11</definedName>
    <definedName name="ORN_SL2">Calc!$J$4:$J$9</definedName>
    <definedName name="ORN_SBV">Calc!$K$4:$K$9</definedName>
    <definedName name="ORN_CAPV">Calc!$L$4:$L$9</definedName>
    <definedName name="KCBR_X">Calc!$N$4:$N$13</definedName>
    <definedName name="KCBR_Y">Calc!$O$4:$O$13</definedName>
    <definedName name="BRAD_X">Calc!$Q$4:$Q$15</definedName>
    <definedName name="BRAD_Y">Calc!$R$4:$R$15</definedName>
    <definedName name="SN_COL">Calc!$T$21:$T$241</definedName>
    <definedName name="FLEXPRED_COL">Calc!$U$21:$U$241</definedName>
    <definedName name="D_COL">Calc!$W$21:$W$221</definedName>
    <definedName name="RIGPRED_COL">Calc!$X$21:$X$221</definedName>
    <definedName name="DesignLife">'Inputs'!$C$9</definedName>
    <definedName name="CVPD">'Traffic'!$C$5</definedName>
    <definedName name="Growth">'Traffic'!$C$6</definedName>
    <definedName name="LaneF">'Traffic'!$C$8</definedName>
    <definedName name="VDFx">'Traffic'!$C$9</definedName>
    <definedName name="DirF">'Traffic'!$C$10</definedName>
    <definedName name="GrowthF">'Traffic'!$C$13</definedName>
    <definedName name="cumESA">'Traffic'!$C$14</definedName>
    <definedName name="msa">'Traffic'!$C$15</definedName>
    <definedName name="Tclass">'Traffic'!$C$16</definedName>
    <definedName name="CBR_SAMPLES">Subgrade!$C$5:$N$5</definedName>
    <definedName name="PctL">'Subgrade'!$C$9</definedName>
    <definedName name="ManCBR">'Subgrade'!$C$10</definedName>
    <definedName name="designCBR">'Subgrade'!$C$13</definedName>
    <definedName name="MR_MPa">'Subgrade'!$C$17</definedName>
    <definedName name="MR_psi">'Subgrade'!$C$18</definedName>
    <definedName name="kVal">'Subgrade'!$C$19</definedName>
    <definedName name="Sclass">'Subgrade'!$C$20</definedName>
    <definedName name="AC_E">'Materials'!$C$5</definedName>
    <definedName name="Base_E">'Materials'!$C$6</definedName>
    <definedName name="Subbase_E">'Materials'!$C$7</definedName>
    <definedName name="coef_a1">'Materials'!$C$10</definedName>
    <definedName name="coef_a2">'Materials'!$C$11</definedName>
    <definedName name="coef_a3">'Materials'!$C$12</definedName>
    <definedName name="drain_m2">'Materials'!$C$13</definedName>
    <definedName name="drain_m3">'Materials'!$C$14</definedName>
    <definedName name="fck">'Materials'!$C$19</definedName>
    <definedName name="Ec">'Materials'!$C$20</definedName>
    <definedName name="MRup">'Materials'!$C$21</definedName>
    <definedName name="Rel_flex">'Flexible-AASHTO'!$C$6</definedName>
    <definedName name="S0_flex">'Flexible-AASHTO'!$C$7</definedName>
    <definedName name="dPSI_flex">'Flexible-AASHTO'!$C$10</definedName>
    <definedName name="ZR_flex">'Flexible-AASHTO'!$C$11</definedName>
    <definedName name="reqLW_flex">'Flexible-AASHTO'!$C$15</definedName>
    <definedName name="SNreq">'Flexible-AASHTO'!$C$16</definedName>
    <definedName name="D1mm">'Flexible-AASHTO'!$C$19</definedName>
    <definedName name="D2mm">'Flexible-AASHTO'!$C$20</definedName>
    <definedName name="D3mm">'Flexible-AASHTO'!$C$21</definedName>
    <definedName name="SNprov">'Flexible-AASHTO'!$C$22</definedName>
    <definedName name="epsT">'Flexible-IRC37'!$C$6</definedName>
    <definedName name="epsV">'Flexible-IRC37'!$C$7</definedName>
    <definedName name="Va_mix">'Flexible-IRC37'!$C$9</definedName>
    <definedName name="Vbe_mix">'Flexible-IRC37'!$C$10</definedName>
    <definedName name="Rel_37">'Flexible-IRC37'!$C$11</definedName>
    <definedName name="Cfac">'Flexible-IRC37'!$C$12</definedName>
    <definedName name="Nf_a">'Flexible-IRC37'!$C$15</definedName>
    <definedName name="Nr_a">'Flexible-IRC37'!$C$16</definedName>
    <definedName name="DesRep">'Flexible-IRC37'!$C$17</definedName>
    <definedName name="ORN_RB">'Flexible-ORN31'!$C$12</definedName>
    <definedName name="ORN_SBt">'Flexible-ORN31'!$C$13</definedName>
    <definedName name="ORN_CAP">'Flexible-ORN31'!$C$14</definedName>
    <definedName name="ORN_TOT">'Flexible-ORN31'!$C$15</definedName>
    <definedName name="DoR_BIT">'Flexible-DoR'!$C$8</definedName>
    <definedName name="DoR_BASE">'Flexible-DoR'!$C$9</definedName>
    <definedName name="DoR_SUB">'Flexible-DoR'!$C$10</definedName>
    <definedName name="DoR_TOT">'Flexible-DoR'!$C$11</definedName>
    <definedName name="Rel_rig">'Rigid-AASHTO'!$C$6</definedName>
    <definedName name="S0_rig">'Rigid-AASHTO'!$C$7</definedName>
    <definedName name="pt_rig">'Rigid-AASHTO'!$C$9</definedName>
    <definedName name="dPSI_rig">'Rigid-AASHTO'!$C$10</definedName>
    <definedName name="J_rig">'Rigid-AASHTO'!$C$11</definedName>
    <definedName name="Cd_rig">'Rigid-AASHTO'!$C$12</definedName>
    <definedName name="Sc_psi">'Rigid-AASHTO'!$C$13</definedName>
    <definedName name="Ec_psi">'Rigid-AASHTO'!$C$14</definedName>
    <definedName name="k_pci">'Rigid-AASHTO'!$C$15</definedName>
    <definedName name="ZR_rig">'Rigid-AASHTO'!$C$16</definedName>
    <definedName name="reqLW_rig">'Rigid-AASHTO'!$C$19</definedName>
    <definedName name="Drig_in">'Rigid-AASHTO'!$C$20</definedName>
    <definedName name="Drig_mm">'Rigid-AASHTO'!$C$21</definedName>
    <definedName name="h_slab">'Rigid-IRC58'!$C$5</definedName>
    <definedName name="P_axle">'Rigid-IRC58'!$C$6</definedName>
    <definedName name="q_tyre">'Rigid-IRC58'!$C$7</definedName>
    <definedName name="mu_pr">'Rigid-IRC58'!$C$9</definedName>
    <definedName name="alpha_t">'Rigid-IRC58'!$C$12</definedName>
    <definedName name="dTemp_c">'Rigid-IRC58'!$C$13</definedName>
    <definedName name="Lj_slab">'Rigid-IRC58'!$C$14</definedName>
    <definedName name="reps_v">'Rigid-IRC58'!$C$15</definedName>
    <definedName name="fe_str">'Rigid-IRC58'!$C$16</definedName>
    <definedName name="l_rrs">'Rigid-IRC58'!$C$19</definedName>
    <definedName name="a_rad">'Rigid-IRC58'!$C$20</definedName>
    <definedName name="b_rad">'Rigid-IRC58'!$C$21</definedName>
    <definedName name="ld_str">'Rigid-IRC58'!$C$22</definedName>
    <definedName name="bradC">'Rigid-IRC58'!$C$23</definedName>
    <definedName name="t_str">'Rigid-IRC58'!$C$24</definedName>
    <definedName name="c_str">'Rigid-IRC58'!$C$25</definedName>
    <definedName name="SR_v">'Rigid-IRC58'!$C$26</definedName>
    <definedName name="N_all">'Rigid-IRC58'!$C$27</definedName>
    <definedName name="SNeff">'Combined'!$C$6</definedName>
    <definedName name="ov_coeff">'Combined'!$C$7</definedName>
    <definedName name="SNdef">'Combined'!$C$8</definedName>
    <definedName name="Deff">'Combined'!$C$13</definedName>
    <definedName name="ov_factor">'Combined'!$C$14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2">
    <font>
      <name val="Calibri"/>
      <family val="2"/>
      <color theme="1"/>
      <sz val="11"/>
      <scheme val="minor"/>
    </font>
    <font>
      <b val="1"/>
      <color rgb="00B91C1C"/>
    </font>
    <font>
      <b val="1"/>
      <color rgb="00F4B400"/>
      <sz val="16"/>
    </font>
    <font>
      <color rgb="00C8D2E0"/>
      <sz val="10"/>
    </font>
    <font>
      <b val="1"/>
      <color rgb="000F172A"/>
      <sz val="12"/>
    </font>
    <font>
      <b val="1"/>
      <color rgb="000F172A"/>
      <sz val="10"/>
    </font>
    <font>
      <color rgb="000F172A"/>
      <sz val="10"/>
    </font>
    <font>
      <color rgb="00B91C1C"/>
      <sz val="10"/>
    </font>
    <font>
      <b val="1"/>
      <color rgb="00FFFFFF"/>
      <sz val="11"/>
    </font>
    <font>
      <i val="1"/>
      <color rgb="0064748B"/>
      <sz val="9"/>
    </font>
    <font>
      <name val="Consolas"/>
      <color rgb="000F172A"/>
      <sz val="10"/>
    </font>
    <font>
      <b val="1"/>
      <color rgb="007A5B00"/>
      <sz val="11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FF7DE"/>
      </patternFill>
    </fill>
    <fill>
      <patternFill patternType="solid">
        <fgColor rgb="00EEF2F7"/>
      </patternFill>
    </fill>
    <fill>
      <patternFill patternType="solid">
        <fgColor rgb="00FFF1C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4" fontId="6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0" fontId="9" fillId="0" borderId="0" pivotButton="0" quotePrefix="0" xfId="0"/>
    <xf numFmtId="2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9" fillId="0" borderId="0" applyAlignment="1" pivotButton="0" quotePrefix="0" xfId="0">
      <alignment vertical="center" wrapText="1"/>
    </xf>
    <xf numFmtId="165" fontId="10" fillId="5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" fontId="11" fillId="6" borderId="1" applyAlignment="1" pivotButton="0" quotePrefix="0" xfId="0">
      <alignment horizontal="center" vertical="center"/>
    </xf>
    <xf numFmtId="166" fontId="10" fillId="5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" fontId="10" fillId="5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5F5E3"/>
        </patternFill>
      </fill>
    </dxf>
    <dxf>
      <fill>
        <patternFill patternType="solid">
          <fgColor rgb="00FAD7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24" customWidth="1" min="4" max="4"/>
    <col width="24" customWidth="1" min="5" max="5"/>
  </cols>
  <sheetData>
    <row r="1" ht="26" customHeight="1">
      <c r="A1" s="1" t="n"/>
      <c r="B1" s="2" t="inlineStr">
        <is>
          <t>PaveWorks — Pavement Design Workbook (Nepal)</t>
        </is>
      </c>
    </row>
    <row r="2" ht="16" customHeight="1">
      <c r="A2" s="1" t="n"/>
      <c r="B2" s="3" t="inlineStr">
        <is>
          <t>Flexible · Rigid · Combined — DoR 2021 · ORN 31 · IRC 37-2018 · IRC 58-2015 · AASHTO 1993</t>
        </is>
      </c>
    </row>
    <row r="4">
      <c r="B4" s="4" t="inlineStr">
        <is>
          <t>A one-stop workbook for pavement design in Nepal.</t>
        </is>
      </c>
    </row>
    <row r="6">
      <c r="B6" s="5" t="inlineStr">
        <is>
          <t>How to use:</t>
        </is>
      </c>
    </row>
    <row r="7">
      <c r="B7" s="6" t="inlineStr">
        <is>
          <t>1.  Fill the amber (editable) cells. Grey cells are computed automatically.</t>
        </is>
      </c>
    </row>
    <row r="8">
      <c r="B8" s="6" t="inlineStr">
        <is>
          <t>2.  Work top-down through the tabs: Inputs -&gt; Traffic -&gt; Subgrade -&gt; Materials.</t>
        </is>
      </c>
    </row>
    <row r="9">
      <c r="B9" s="6" t="inlineStr">
        <is>
          <t>3.  Then open the design tabs (Flexible / Rigid / Combined). Values flow between tabs.</t>
        </is>
      </c>
    </row>
    <row r="10">
      <c r="B10" s="6" t="inlineStr">
        <is>
          <t>4.  The Summary tab collects all results for reporting.</t>
        </is>
      </c>
    </row>
    <row r="11">
      <c r="B11" s="6" t="inlineStr"/>
    </row>
    <row r="12">
      <c r="B12" s="6" t="inlineStr">
        <is>
          <t>Editable = amber   |   Computed = grey   |   Headline result = gold</t>
        </is>
      </c>
    </row>
    <row r="13">
      <c r="B13" s="6" t="inlineStr"/>
    </row>
    <row r="14">
      <c r="B14" s="6" t="inlineStr">
        <is>
          <t>Tabs: Inputs, Traffic, Subgrade, Materials, Flexible-AASHTO/IRC37/ORN31/DoR,</t>
        </is>
      </c>
    </row>
    <row r="15">
      <c r="B15" s="6" t="inlineStr">
        <is>
          <t xml:space="preserve">      Rigid-AASHTO/IRC58, Combined, Summary, References.</t>
        </is>
      </c>
    </row>
    <row r="16">
      <c r="B16" s="6" t="inlineStr"/>
    </row>
    <row r="17">
      <c r="B17" s="7" t="inlineStr">
        <is>
          <t>DISCLAIMER: Indicative design aid. Catalogue thicknesses (ORN 31 / DoR) are indicative and</t>
        </is>
      </c>
    </row>
    <row r="18">
      <c r="B18" s="6" t="inlineStr">
        <is>
          <t>must be confirmed against the official charts and IITPAVE / IITRIGID before construction.</t>
        </is>
      </c>
    </row>
  </sheetData>
  <mergeCells count="15">
    <mergeCell ref="B17:E17"/>
    <mergeCell ref="B9:E9"/>
    <mergeCell ref="B18:E18"/>
    <mergeCell ref="B8:E8"/>
    <mergeCell ref="B2:F2"/>
    <mergeCell ref="B12:E12"/>
    <mergeCell ref="B13:E13"/>
    <mergeCell ref="B6:E6"/>
    <mergeCell ref="B16:E16"/>
    <mergeCell ref="B15:E15"/>
    <mergeCell ref="B7:E7"/>
    <mergeCell ref="B11:E11"/>
    <mergeCell ref="B1:F1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Project &amp; global inputs</t>
        </is>
      </c>
    </row>
    <row r="2" ht="16" customHeight="1">
      <c r="A2" s="1" t="n"/>
      <c r="B2" s="1" t="n"/>
      <c r="C2" s="1" t="n"/>
      <c r="D2" s="1" t="n"/>
      <c r="E2" s="1" t="n"/>
      <c r="F2" s="1" t="n"/>
    </row>
    <row r="4" ht="20" customHeight="1">
      <c r="B4" s="8" t="inlineStr">
        <is>
          <t>Project</t>
        </is>
      </c>
    </row>
    <row r="5">
      <c r="B5" s="9" t="inlineStr">
        <is>
          <t>Project name</t>
        </is>
      </c>
      <c r="C5" s="10" t="inlineStr">
        <is>
          <t>New Pavement Project</t>
        </is>
      </c>
    </row>
    <row r="6">
      <c r="B6" s="9" t="inlineStr">
        <is>
          <t>Location</t>
        </is>
      </c>
      <c r="C6" s="10" t="inlineStr">
        <is>
          <t>Nepal</t>
        </is>
      </c>
    </row>
    <row r="7">
      <c r="B7" s="9" t="inlineStr">
        <is>
          <t>Designer</t>
        </is>
      </c>
      <c r="C7" s="10" t="inlineStr"/>
    </row>
    <row r="8">
      <c r="B8" s="9" t="inlineStr">
        <is>
          <t>Road class</t>
        </is>
      </c>
      <c r="C8" s="10" t="inlineStr">
        <is>
          <t>National Highway</t>
        </is>
      </c>
    </row>
    <row r="9">
      <c r="B9" s="9" t="inlineStr">
        <is>
          <t>Design life</t>
        </is>
      </c>
      <c r="C9" s="10" t="n">
        <v>15</v>
      </c>
      <c r="D9" s="11" t="inlineStr">
        <is>
          <t>years</t>
        </is>
      </c>
    </row>
  </sheetData>
  <mergeCells count="2">
    <mergeCell ref="B4:G4"/>
    <mergeCell ref="B1:F1"/>
  </mergeCells>
  <dataValidations count="1">
    <dataValidation sqref="C8" showDropDown="0" showInputMessage="0" showErrorMessage="0" allowBlank="1" type="list">
      <formula1>"National Highway,Strategic Road,Feeder Road,Urban Road,District Road,Rural / Low-volume"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Traffic analysis</t>
        </is>
      </c>
    </row>
    <row r="2" ht="16" customHeight="1">
      <c r="A2" s="1" t="n"/>
      <c r="B2" s="3" t="inlineStr">
        <is>
          <t>Cumulative design traffic (ESAL / MSA) and ORN 31 class</t>
        </is>
      </c>
    </row>
    <row r="4" ht="20" customHeight="1">
      <c r="B4" s="8" t="inlineStr">
        <is>
          <t>Inputs</t>
        </is>
      </c>
    </row>
    <row r="5">
      <c r="B5" s="9" t="inlineStr">
        <is>
          <t>Initial commercial vehicles / day</t>
        </is>
      </c>
      <c r="C5" s="10" t="n">
        <v>1500</v>
      </c>
      <c r="D5" s="11" t="inlineStr">
        <is>
          <t>CV/day</t>
        </is>
      </c>
    </row>
    <row r="6">
      <c r="B6" s="9" t="inlineStr">
        <is>
          <t>Traffic growth rate</t>
        </is>
      </c>
      <c r="C6" s="12" t="n">
        <v>0.06</v>
      </c>
    </row>
    <row r="7">
      <c r="B7" s="9" t="inlineStr">
        <is>
          <t>Design life (from Inputs)</t>
        </is>
      </c>
      <c r="C7" s="13">
        <f>DesignLife</f>
        <v/>
      </c>
      <c r="D7" s="11" t="inlineStr">
        <is>
          <t>years</t>
        </is>
      </c>
    </row>
    <row r="8">
      <c r="B8" s="9" t="inlineStr">
        <is>
          <t>Lane distribution factor D</t>
        </is>
      </c>
      <c r="C8" s="10" t="n">
        <v>0.75</v>
      </c>
    </row>
    <row r="9">
      <c r="B9" s="9" t="inlineStr">
        <is>
          <t>Vehicle Damage Factor (VDF)</t>
        </is>
      </c>
      <c r="C9" s="10" t="n">
        <v>4.5</v>
      </c>
    </row>
    <row r="10">
      <c r="B10" s="9" t="inlineStr">
        <is>
          <t>Directional distribution</t>
        </is>
      </c>
      <c r="C10" s="10" t="n">
        <v>0.5</v>
      </c>
    </row>
    <row r="12" ht="20" customHeight="1">
      <c r="B12" s="8" t="inlineStr">
        <is>
          <t>Design traffic</t>
        </is>
      </c>
    </row>
    <row r="13">
      <c r="B13" s="9" t="inlineStr">
        <is>
          <t>Cumulative growth factor</t>
        </is>
      </c>
      <c r="C13" s="14">
        <f>IF(Growth=0,DesignLife,((1+Growth)^DesignLife-1)/Growth)</f>
        <v/>
      </c>
    </row>
    <row r="14">
      <c r="B14" s="9" t="inlineStr">
        <is>
          <t>Cumulative standard axles</t>
        </is>
      </c>
      <c r="C14" s="15">
        <f>365*CVPD*GrowthF*LaneF*VDFx</f>
        <v/>
      </c>
      <c r="D14" s="11" t="inlineStr">
        <is>
          <t>ESA</t>
        </is>
      </c>
      <c r="E14" s="16" t="inlineStr">
        <is>
          <t>N = 365*A*[((1+r)^n-1)/r]*D*F</t>
        </is>
      </c>
    </row>
    <row r="15">
      <c r="B15" s="9" t="inlineStr">
        <is>
          <t>Design traffic (MSA)</t>
        </is>
      </c>
      <c r="C15" s="17">
        <f>cumESA/1000000</f>
        <v/>
      </c>
      <c r="D15" s="11" t="inlineStr">
        <is>
          <t>msa</t>
        </is>
      </c>
    </row>
    <row r="16">
      <c r="B16" s="9" t="inlineStr">
        <is>
          <t>ORN 31 traffic class</t>
        </is>
      </c>
      <c r="C16" s="18">
        <f>LOOKUP(msa,ORN_TB,ORN_TL)</f>
        <v/>
      </c>
    </row>
    <row r="17">
      <c r="B17" s="9" t="inlineStr">
        <is>
          <t>Recommended reliability (IRC)</t>
        </is>
      </c>
      <c r="C17" s="13">
        <f>IF(msa&gt;=20,"90%","80%")</f>
        <v/>
      </c>
    </row>
  </sheetData>
  <mergeCells count="4">
    <mergeCell ref="B2:F2"/>
    <mergeCell ref="B4:G4"/>
    <mergeCell ref="B12:G12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Subgrade &amp; CBR</t>
        </is>
      </c>
    </row>
    <row r="2" ht="16" customHeight="1">
      <c r="A2" s="1" t="n"/>
      <c r="B2" s="3" t="inlineStr">
        <is>
          <t>Design CBR, resilient modulus MR, modulus of subgrade reaction k</t>
        </is>
      </c>
    </row>
    <row r="4" ht="20" customHeight="1">
      <c r="B4" s="8" t="inlineStr">
        <is>
          <t>CBR test samples (%) — enter up to 12</t>
        </is>
      </c>
    </row>
    <row r="5">
      <c r="B5" s="5" t="inlineStr">
        <is>
          <t>Samples -&gt;</t>
        </is>
      </c>
      <c r="C5" s="19" t="n">
        <v>4</v>
      </c>
      <c r="D5" s="19" t="n">
        <v>5</v>
      </c>
      <c r="E5" s="19" t="n">
        <v>5</v>
      </c>
      <c r="F5" s="19" t="n">
        <v>6</v>
      </c>
      <c r="G5" s="19" t="n">
        <v>7</v>
      </c>
      <c r="H5" s="19" t="n">
        <v>8</v>
      </c>
      <c r="I5" s="19" t="n"/>
      <c r="J5" s="19" t="n"/>
      <c r="K5" s="19" t="n"/>
      <c r="L5" s="19" t="n"/>
      <c r="M5" s="19" t="n"/>
      <c r="N5" s="19" t="n"/>
    </row>
    <row r="7" ht="20" customHeight="1">
      <c r="B7" s="8" t="inlineStr">
        <is>
          <t>Design CBR</t>
        </is>
      </c>
    </row>
    <row r="8">
      <c r="B8" s="9" t="inlineStr">
        <is>
          <t>Method</t>
        </is>
      </c>
      <c r="C8" s="10" t="inlineStr">
        <is>
          <t>percentile</t>
        </is>
      </c>
      <c r="E8" s="20" t="inlineStr">
        <is>
          <t>mean or percentile</t>
        </is>
      </c>
    </row>
    <row r="9">
      <c r="B9" s="9" t="inlineStr">
        <is>
          <t>Exceedance percentile</t>
        </is>
      </c>
      <c r="C9" s="10" t="n">
        <v>90</v>
      </c>
      <c r="D9" s="11" t="inlineStr">
        <is>
          <t>%</t>
        </is>
      </c>
    </row>
    <row r="10">
      <c r="B10" s="9" t="inlineStr">
        <is>
          <t>Manual CBR override (0=use samples)</t>
        </is>
      </c>
      <c r="C10" s="10" t="n">
        <v>0</v>
      </c>
      <c r="D10" s="11" t="inlineStr">
        <is>
          <t>%</t>
        </is>
      </c>
    </row>
    <row r="11">
      <c r="B11" s="9" t="inlineStr">
        <is>
          <t>Mean of samples</t>
        </is>
      </c>
      <c r="C11" s="21">
        <f>AVERAGE(CBR_SAMPLES)</f>
        <v/>
      </c>
      <c r="D11" s="11" t="inlineStr">
        <is>
          <t>%</t>
        </is>
      </c>
    </row>
    <row r="12">
      <c r="B12" s="9" t="inlineStr">
        <is>
          <t>Percentile design CBR</t>
        </is>
      </c>
      <c r="C12" s="21">
        <f>PERCENTILE(CBR_SAMPLES,(100-PctL)/100)</f>
        <v/>
      </c>
      <c r="D12" s="11" t="inlineStr">
        <is>
          <t>%</t>
        </is>
      </c>
    </row>
    <row r="13">
      <c r="B13" s="9" t="inlineStr">
        <is>
          <t>Design CBR</t>
        </is>
      </c>
      <c r="C13" s="22">
        <f>IF(ManCBR&gt;0,ManCBR,IF(C8="mean",C11,C12))</f>
        <v/>
      </c>
      <c r="D13" s="11" t="inlineStr">
        <is>
          <t>%</t>
        </is>
      </c>
    </row>
    <row r="15" ht="20" customHeight="1">
      <c r="B15" s="8" t="inlineStr">
        <is>
          <t>Moduli &amp; class</t>
        </is>
      </c>
    </row>
    <row r="16">
      <c r="B16" s="9" t="inlineStr">
        <is>
          <t>MR correlation</t>
        </is>
      </c>
      <c r="C16" s="10" t="inlineStr">
        <is>
          <t>irc</t>
        </is>
      </c>
      <c r="E16" s="20" t="inlineStr">
        <is>
          <t>irc or aashto</t>
        </is>
      </c>
    </row>
    <row r="17">
      <c r="B17" s="9" t="inlineStr">
        <is>
          <t>Resilient modulus MR</t>
        </is>
      </c>
      <c r="C17" s="23">
        <f>IF(C16="aashto",1500*designCBR*0.00689476,IF(designCBR&lt;=5,10*designCBR,17.6*designCBR^0.64))</f>
        <v/>
      </c>
      <c r="D17" s="11" t="inlineStr">
        <is>
          <t>MPa</t>
        </is>
      </c>
    </row>
    <row r="18">
      <c r="B18" s="9" t="inlineStr">
        <is>
          <t>MR (psi)</t>
        </is>
      </c>
      <c r="C18" s="15">
        <f>MR_MPa*145.0377</f>
        <v/>
      </c>
      <c r="D18" s="11" t="inlineStr">
        <is>
          <t>psi</t>
        </is>
      </c>
    </row>
    <row r="19">
      <c r="B19" s="9" t="inlineStr">
        <is>
          <t>Modulus of subgrade reaction k</t>
        </is>
      </c>
      <c r="C19" s="23">
        <f>FORECAST(MEDIAN(2,designCBR,99),OFFSET(INDEX(KCBR_Y,MATCH(MEDIAN(2,designCBR,99),KCBR_X,1)),0,0,2),OFFSET(INDEX(KCBR_X,MATCH(MEDIAN(2,designCBR,99),KCBR_X,1)),0,0,2))</f>
        <v/>
      </c>
      <c r="D19" s="11" t="inlineStr">
        <is>
          <t>MPa/m</t>
        </is>
      </c>
    </row>
    <row r="20">
      <c r="B20" s="9" t="inlineStr">
        <is>
          <t>ORN 31 subgrade class</t>
        </is>
      </c>
      <c r="C20" s="18">
        <f>LOOKUP(designCBR,ORN_SB,ORN_SL)</f>
        <v/>
      </c>
    </row>
  </sheetData>
  <mergeCells count="5">
    <mergeCell ref="B2:F2"/>
    <mergeCell ref="B4:G4"/>
    <mergeCell ref="B1:F1"/>
    <mergeCell ref="B15:G15"/>
    <mergeCell ref="B7:G7"/>
  </mergeCells>
  <dataValidations count="2">
    <dataValidation sqref="C8" showDropDown="0" showInputMessage="0" showErrorMessage="0" allowBlank="0" type="list">
      <formula1>"mean,percentile"</formula1>
    </dataValidation>
    <dataValidation sqref="C16" showDropDown="0" showInputMessage="0" showErrorMessage="0" allowBlank="0" type="list">
      <formula1>"irc,aashto"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Materials &amp; moduli</t>
        </is>
      </c>
    </row>
    <row r="2" ht="16" customHeight="1">
      <c r="A2" s="1" t="n"/>
      <c r="B2" s="1" t="n"/>
      <c r="C2" s="1" t="n"/>
      <c r="D2" s="1" t="n"/>
      <c r="E2" s="1" t="n"/>
      <c r="F2" s="1" t="n"/>
    </row>
    <row r="4" ht="20" customHeight="1">
      <c r="B4" s="8" t="inlineStr">
        <is>
          <t>Layer moduli (MPa)</t>
        </is>
      </c>
    </row>
    <row r="5">
      <c r="B5" s="9" t="inlineStr">
        <is>
          <t>Bituminous (AC) modulus</t>
        </is>
      </c>
      <c r="C5" s="10" t="n">
        <v>3000</v>
      </c>
      <c r="D5" s="11" t="inlineStr">
        <is>
          <t>MPa</t>
        </is>
      </c>
    </row>
    <row r="6">
      <c r="B6" s="9" t="inlineStr">
        <is>
          <t>Granular base modulus</t>
        </is>
      </c>
      <c r="C6" s="10" t="n">
        <v>300</v>
      </c>
      <c r="D6" s="11" t="inlineStr">
        <is>
          <t>MPa</t>
        </is>
      </c>
    </row>
    <row r="7">
      <c r="B7" s="9" t="inlineStr">
        <is>
          <t>Granular sub-base modulus</t>
        </is>
      </c>
      <c r="C7" s="10" t="n">
        <v>150</v>
      </c>
      <c r="D7" s="11" t="inlineStr">
        <is>
          <t>MPa</t>
        </is>
      </c>
    </row>
    <row r="9" ht="20" customHeight="1">
      <c r="B9" s="8" t="inlineStr">
        <is>
          <t>AASHTO layer coefficients (per inch)</t>
        </is>
      </c>
    </row>
    <row r="10">
      <c r="B10" s="9" t="inlineStr">
        <is>
          <t>a1 (surface)</t>
        </is>
      </c>
      <c r="C10" s="10" t="n">
        <v>0.44</v>
      </c>
    </row>
    <row r="11">
      <c r="B11" s="9" t="inlineStr">
        <is>
          <t>a2 (base)</t>
        </is>
      </c>
      <c r="C11" s="10" t="n">
        <v>0.14</v>
      </c>
    </row>
    <row r="12">
      <c r="B12" s="9" t="inlineStr">
        <is>
          <t>a3 (sub-base)</t>
        </is>
      </c>
      <c r="C12" s="10" t="n">
        <v>0.11</v>
      </c>
    </row>
    <row r="13">
      <c r="B13" s="9" t="inlineStr">
        <is>
          <t>m2 (base drainage)</t>
        </is>
      </c>
      <c r="C13" s="10" t="n">
        <v>1</v>
      </c>
    </row>
    <row r="14">
      <c r="B14" s="9" t="inlineStr">
        <is>
          <t>m3 (sub-base drainage)</t>
        </is>
      </c>
      <c r="C14" s="10" t="n">
        <v>1</v>
      </c>
    </row>
    <row r="15">
      <c r="B15" s="9" t="inlineStr">
        <is>
          <t>a2 from base modulus</t>
        </is>
      </c>
      <c r="C15" s="24">
        <f>0.249*LOG10(Base_E*145.0377)-0.977</f>
        <v/>
      </c>
    </row>
    <row r="16">
      <c r="B16" s="9" t="inlineStr">
        <is>
          <t>a3 from sub-base modulus</t>
        </is>
      </c>
      <c r="C16" s="24">
        <f>0.227*LOG10(Subbase_E*145.0377)-0.839</f>
        <v/>
      </c>
    </row>
    <row r="18" ht="20" customHeight="1">
      <c r="B18" s="8" t="inlineStr">
        <is>
          <t>Concrete (rigid)</t>
        </is>
      </c>
    </row>
    <row r="19">
      <c r="B19" s="9" t="inlineStr">
        <is>
          <t>fck</t>
        </is>
      </c>
      <c r="C19" s="10" t="n">
        <v>40</v>
      </c>
      <c r="D19" s="11" t="inlineStr">
        <is>
          <t>MPa</t>
        </is>
      </c>
    </row>
    <row r="20">
      <c r="B20" s="9" t="inlineStr">
        <is>
          <t>Elastic modulus Ec</t>
        </is>
      </c>
      <c r="C20" s="10" t="n">
        <v>30000</v>
      </c>
      <c r="D20" s="11" t="inlineStr">
        <is>
          <t>MPa</t>
        </is>
      </c>
    </row>
    <row r="21">
      <c r="B21" s="9" t="inlineStr">
        <is>
          <t>Flexural strength (90-day)</t>
        </is>
      </c>
      <c r="C21" s="10" t="n">
        <v>4.5</v>
      </c>
      <c r="D21" s="11" t="inlineStr">
        <is>
          <t>MPa</t>
        </is>
      </c>
    </row>
    <row r="22">
      <c r="B22" s="9" t="inlineStr">
        <is>
          <t>Ec from fck (IS 456)</t>
        </is>
      </c>
      <c r="C22" s="15">
        <f>5000*SQRT(fck)</f>
        <v/>
      </c>
      <c r="D22" s="11" t="inlineStr">
        <is>
          <t>MPa</t>
        </is>
      </c>
    </row>
    <row r="23">
      <c r="B23" s="9" t="inlineStr">
        <is>
          <t>Flexural (90-day) from fck</t>
        </is>
      </c>
      <c r="C23" s="14">
        <f>1.1*0.7*SQRT(fck)</f>
        <v/>
      </c>
      <c r="D23" s="11" t="inlineStr">
        <is>
          <t>MPa</t>
        </is>
      </c>
    </row>
  </sheetData>
  <mergeCells count="4">
    <mergeCell ref="B4:G4"/>
    <mergeCell ref="B9:G9"/>
    <mergeCell ref="B18:G18"/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Flexible — AASHTO 1993 (Structural Number)</t>
        </is>
      </c>
    </row>
    <row r="2" ht="16" customHeight="1">
      <c r="A2" s="1" t="n"/>
      <c r="B2" s="1" t="n"/>
      <c r="C2" s="1" t="n"/>
      <c r="D2" s="1" t="n"/>
      <c r="E2" s="1" t="n"/>
      <c r="F2" s="1" t="n"/>
    </row>
    <row r="4" ht="20" customHeight="1">
      <c r="B4" s="8" t="inlineStr">
        <is>
          <t>Inputs</t>
        </is>
      </c>
    </row>
    <row r="5">
      <c r="B5" s="9" t="inlineStr">
        <is>
          <t>Design ESAL W18 (from Traffic)</t>
        </is>
      </c>
      <c r="C5" s="15">
        <f>cumESA</f>
        <v/>
      </c>
      <c r="D5" s="11" t="inlineStr">
        <is>
          <t>ESA</t>
        </is>
      </c>
    </row>
    <row r="6">
      <c r="B6" s="9" t="inlineStr">
        <is>
          <t>Reliability</t>
        </is>
      </c>
      <c r="C6" s="25" t="n">
        <v>0.9</v>
      </c>
    </row>
    <row r="7">
      <c r="B7" s="9" t="inlineStr">
        <is>
          <t>Overall std. deviation S0</t>
        </is>
      </c>
      <c r="C7" s="10" t="n">
        <v>0.45</v>
      </c>
    </row>
    <row r="8">
      <c r="B8" s="9" t="inlineStr">
        <is>
          <t>Initial serviceability p0</t>
        </is>
      </c>
      <c r="C8" s="10" t="n">
        <v>4.2</v>
      </c>
    </row>
    <row r="9">
      <c r="B9" s="9" t="inlineStr">
        <is>
          <t>Terminal serviceability pt</t>
        </is>
      </c>
      <c r="C9" s="10" t="n">
        <v>2.5</v>
      </c>
    </row>
    <row r="10">
      <c r="B10" s="9" t="inlineStr">
        <is>
          <t>Serviceability loss dPSI</t>
        </is>
      </c>
      <c r="C10" s="21">
        <f>C8-C9</f>
        <v/>
      </c>
    </row>
    <row r="11">
      <c r="B11" s="9" t="inlineStr">
        <is>
          <t>Standard normal deviate ZR</t>
        </is>
      </c>
      <c r="C11" s="24">
        <f>NORM.S.INV(1-Rel_flex)</f>
        <v/>
      </c>
    </row>
    <row r="12">
      <c r="B12" s="9" t="inlineStr">
        <is>
          <t>Subgrade MR (psi)</t>
        </is>
      </c>
      <c r="C12" s="15">
        <f>MR_psi</f>
        <v/>
      </c>
      <c r="D12" s="11" t="inlineStr">
        <is>
          <t>psi</t>
        </is>
      </c>
    </row>
    <row r="14" ht="20" customHeight="1">
      <c r="B14" s="8" t="inlineStr">
        <is>
          <t>Required structural number</t>
        </is>
      </c>
    </row>
    <row r="15">
      <c r="B15" s="9" t="inlineStr">
        <is>
          <t>Required log10(W18)</t>
        </is>
      </c>
      <c r="C15" s="24">
        <f>LOG10(C5)</f>
        <v/>
      </c>
    </row>
    <row r="16">
      <c r="B16" s="9" t="inlineStr">
        <is>
          <t>Required SN</t>
        </is>
      </c>
      <c r="C16" s="17">
        <f>INDEX(SN_COL,MATCH(reqLW_flex,FLEXPRED_COL,1))+(reqLW_flex-INDEX(FLEXPRED_COL,MATCH(reqLW_flex,FLEXPRED_COL,1)))/(INDEX(FLEXPRED_COL,MATCH(reqLW_flex,FLEXPRED_COL,1)+1)-INDEX(FLEXPRED_COL,MATCH(reqLW_flex,FLEXPRED_COL,1)))*0.05</f>
        <v/>
      </c>
    </row>
    <row r="18" ht="20" customHeight="1">
      <c r="B18" s="8" t="inlineStr">
        <is>
          <t>Layer design (enter thicknesses; check provided SN)</t>
        </is>
      </c>
    </row>
    <row r="19">
      <c r="B19" s="9" t="inlineStr">
        <is>
          <t>Surface thickness D1</t>
        </is>
      </c>
      <c r="C19" s="10" t="n">
        <v>100</v>
      </c>
      <c r="D19" s="11" t="inlineStr">
        <is>
          <t>mm</t>
        </is>
      </c>
    </row>
    <row r="20">
      <c r="B20" s="9" t="inlineStr">
        <is>
          <t>Base thickness D2</t>
        </is>
      </c>
      <c r="C20" s="10" t="n">
        <v>250</v>
      </c>
      <c r="D20" s="11" t="inlineStr">
        <is>
          <t>mm</t>
        </is>
      </c>
    </row>
    <row r="21">
      <c r="B21" s="9" t="inlineStr">
        <is>
          <t>Sub-base thickness D3</t>
        </is>
      </c>
      <c r="C21" s="10" t="n">
        <v>250</v>
      </c>
      <c r="D21" s="11" t="inlineStr">
        <is>
          <t>mm</t>
        </is>
      </c>
    </row>
    <row r="22">
      <c r="B22" s="9" t="inlineStr">
        <is>
          <t>Provided SN</t>
        </is>
      </c>
      <c r="C22" s="17">
        <f>coef_a1*(D1mm/25.4)+coef_a2*drain_m2*(D2mm/25.4)+coef_a3*drain_m3*(D3mm/25.4)</f>
        <v/>
      </c>
    </row>
    <row r="23">
      <c r="B23" s="9" t="inlineStr">
        <is>
          <t>Check</t>
        </is>
      </c>
      <c r="C23" s="13">
        <f>IF(SNprov&gt;=SNreq,"PASS","REVISE - increase thickness")</f>
        <v/>
      </c>
    </row>
  </sheetData>
  <mergeCells count="4">
    <mergeCell ref="B14:G14"/>
    <mergeCell ref="B4:G4"/>
    <mergeCell ref="B18:G18"/>
    <mergeCell ref="B1:F1"/>
  </mergeCells>
  <conditionalFormatting sqref="C23">
    <cfRule type="expression" priority="1" dxfId="0">
      <formula>ISNUMBER(SEARCH("PASS",C23))</formula>
    </cfRule>
    <cfRule type="expression" priority="2" dxfId="1">
      <formula>OR(ISNUMBER(SEARCH("FAIL",C23)),ISNUMBER(SEARCH("REVISE",C23)))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Flexible — IRC 37-2018 (mechanistic-empirical check)</t>
        </is>
      </c>
    </row>
    <row r="2" ht="16" customHeight="1">
      <c r="A2" s="1" t="n"/>
      <c r="B2" s="3" t="inlineStr">
        <is>
          <t>Strains from IITPAVE layered-elastic analysis</t>
        </is>
      </c>
    </row>
    <row r="4" ht="20" customHeight="1">
      <c r="B4" s="8" t="inlineStr">
        <is>
          <t>Inputs</t>
        </is>
      </c>
    </row>
    <row r="5">
      <c r="B5" s="9" t="inlineStr">
        <is>
          <t>Design traffic (MSA)</t>
        </is>
      </c>
      <c r="C5" s="14">
        <f>msa</f>
        <v/>
      </c>
      <c r="D5" s="11" t="inlineStr">
        <is>
          <t>msa</t>
        </is>
      </c>
    </row>
    <row r="6">
      <c r="B6" s="9" t="inlineStr">
        <is>
          <t>Tensile strain et (bottom of AC)</t>
        </is>
      </c>
      <c r="C6" s="10" t="n">
        <v>150</v>
      </c>
      <c r="D6" s="11" t="inlineStr">
        <is>
          <t>ue</t>
        </is>
      </c>
    </row>
    <row r="7">
      <c r="B7" s="9" t="inlineStr">
        <is>
          <t>Vertical strain ev (top of subgrade)</t>
        </is>
      </c>
      <c r="C7" s="10" t="n">
        <v>350</v>
      </c>
      <c r="D7" s="11" t="inlineStr">
        <is>
          <t>ue</t>
        </is>
      </c>
    </row>
    <row r="8">
      <c r="B8" s="9" t="inlineStr">
        <is>
          <t>Bituminous modulus</t>
        </is>
      </c>
      <c r="C8" s="15">
        <f>AC_E</f>
        <v/>
      </c>
      <c r="D8" s="11" t="inlineStr">
        <is>
          <t>MPa</t>
        </is>
      </c>
    </row>
    <row r="9">
      <c r="B9" s="9" t="inlineStr">
        <is>
          <t>Air voids Va</t>
        </is>
      </c>
      <c r="C9" s="10" t="n">
        <v>3</v>
      </c>
      <c r="D9" s="11" t="inlineStr">
        <is>
          <t>%</t>
        </is>
      </c>
    </row>
    <row r="10">
      <c r="B10" s="9" t="inlineStr">
        <is>
          <t>Effective bitumen Vbe</t>
        </is>
      </c>
      <c r="C10" s="10" t="n">
        <v>11.5</v>
      </c>
      <c r="D10" s="11" t="inlineStr">
        <is>
          <t>%</t>
        </is>
      </c>
    </row>
    <row r="11">
      <c r="B11" s="9" t="inlineStr">
        <is>
          <t>Reliability (auto by MSA)</t>
        </is>
      </c>
      <c r="C11" s="13">
        <f>IF(msa&gt;=20,90,80)</f>
        <v/>
      </c>
      <c r="D11" s="11" t="inlineStr">
        <is>
          <t>%</t>
        </is>
      </c>
    </row>
    <row r="12">
      <c r="B12" s="9" t="inlineStr">
        <is>
          <t>Mix factor C</t>
        </is>
      </c>
      <c r="C12" s="24">
        <f>10^(4.84*(Vbe_mix/(Va_mix+Vbe_mix)-0.69))</f>
        <v/>
      </c>
    </row>
    <row r="14" ht="20" customHeight="1">
      <c r="B14" s="8" t="inlineStr">
        <is>
          <t>Performance criteria</t>
        </is>
      </c>
    </row>
    <row r="15">
      <c r="B15" s="9" t="inlineStr">
        <is>
          <t>Allowable fatigue Nf</t>
        </is>
      </c>
      <c r="C15" s="26">
        <f>Cfac*IF(Rel_37=90,0.5161,1.6064)*0.0001*(1/(epsT/1000000))^3.89*(1/AC_E)^0.854</f>
        <v/>
      </c>
      <c r="D15" s="11" t="inlineStr">
        <is>
          <t>ESA</t>
        </is>
      </c>
    </row>
    <row r="16">
      <c r="B16" s="9" t="inlineStr">
        <is>
          <t>Allowable rutting Nr</t>
        </is>
      </c>
      <c r="C16" s="26">
        <f>IF(Rel_37=90,1.41,4.1656)*0.00000001*(1/(epsV/1000000))^4.5337</f>
        <v/>
      </c>
      <c r="D16" s="11" t="inlineStr">
        <is>
          <t>ESA</t>
        </is>
      </c>
    </row>
    <row r="17">
      <c r="B17" s="9" t="inlineStr">
        <is>
          <t>Design repetitions</t>
        </is>
      </c>
      <c r="C17" s="15">
        <f>msa*1000000</f>
        <v/>
      </c>
      <c r="D17" s="11" t="inlineStr">
        <is>
          <t>ESA</t>
        </is>
      </c>
    </row>
    <row r="18">
      <c r="B18" s="9" t="inlineStr">
        <is>
          <t>Fatigue check</t>
        </is>
      </c>
      <c r="C18" s="13">
        <f>IF(DesRep&lt;=Nf_a,"PASS","FAIL")</f>
        <v/>
      </c>
    </row>
    <row r="19">
      <c r="B19" s="9" t="inlineStr">
        <is>
          <t>Rutting check</t>
        </is>
      </c>
      <c r="C19" s="13">
        <f>IF(DesRep&lt;=Nr_a,"PASS","FAIL")</f>
        <v/>
      </c>
    </row>
  </sheetData>
  <mergeCells count="4">
    <mergeCell ref="B2:F2"/>
    <mergeCell ref="B14:G14"/>
    <mergeCell ref="B4:G4"/>
    <mergeCell ref="B1:F1"/>
  </mergeCells>
  <conditionalFormatting sqref="C18">
    <cfRule type="expression" priority="1" dxfId="0">
      <formula>ISNUMBER(SEARCH("PASS",C18))</formula>
    </cfRule>
    <cfRule type="expression" priority="2" dxfId="1">
      <formula>OR(ISNUMBER(SEARCH("FAIL",C18)),ISNUMBER(SEARCH("REVISE",C18)))</formula>
    </cfRule>
  </conditionalFormatting>
  <conditionalFormatting sqref="C19">
    <cfRule type="expression" priority="3" dxfId="0">
      <formula>ISNUMBER(SEARCH("PASS",C19))</formula>
    </cfRule>
    <cfRule type="expression" priority="4" dxfId="1">
      <formula>OR(ISNUMBER(SEARCH("FAIL",C19)),ISNUMBER(SEARCH("REVISE",C19)))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Flexible — ORN 31 (structural catalogue, Chart 1)</t>
        </is>
      </c>
    </row>
    <row r="2" ht="16" customHeight="1">
      <c r="A2" s="1" t="n"/>
      <c r="B2" s="3" t="inlineStr">
        <is>
          <t>Indicative — verify against the official ORN 31 charts</t>
        </is>
      </c>
    </row>
    <row r="4" ht="20" customHeight="1">
      <c r="B4" s="8" t="inlineStr">
        <is>
          <t>Classification (automatic)</t>
        </is>
      </c>
    </row>
    <row r="5">
      <c r="B5" s="9" t="inlineStr">
        <is>
          <t>Design traffic (MSA)</t>
        </is>
      </c>
      <c r="C5" s="14">
        <f>msa</f>
        <v/>
      </c>
      <c r="D5" s="11" t="inlineStr">
        <is>
          <t>msa</t>
        </is>
      </c>
    </row>
    <row r="6">
      <c r="B6" s="9" t="inlineStr">
        <is>
          <t>Traffic class</t>
        </is>
      </c>
      <c r="C6" s="18">
        <f>Tclass</f>
        <v/>
      </c>
    </row>
    <row r="7">
      <c r="B7" s="9" t="inlineStr">
        <is>
          <t>Design CBR</t>
        </is>
      </c>
      <c r="C7" s="21">
        <f>designCBR</f>
        <v/>
      </c>
      <c r="D7" s="11" t="inlineStr">
        <is>
          <t>%</t>
        </is>
      </c>
    </row>
    <row r="8">
      <c r="B8" s="9" t="inlineStr">
        <is>
          <t>Subgrade class</t>
        </is>
      </c>
      <c r="C8" s="18">
        <f>Sclass</f>
        <v/>
      </c>
    </row>
    <row r="10" ht="20" customHeight="1">
      <c r="B10" s="8" t="inlineStr">
        <is>
          <t>Catalogue section (mm)</t>
        </is>
      </c>
    </row>
    <row r="11">
      <c r="B11" s="9" t="inlineStr">
        <is>
          <t>Surfacing</t>
        </is>
      </c>
      <c r="C11" s="13">
        <f>IF(OR(Tclass="T7",Tclass="T8"),"Asphalt concrete (structural)","Double surface dressing")</f>
        <v/>
      </c>
    </row>
    <row r="12">
      <c r="B12" s="9" t="inlineStr">
        <is>
          <t>Road base (granular)</t>
        </is>
      </c>
      <c r="C12" s="23">
        <f>INDEX(ORN_RBV,MATCH(Tclass,ORN_RBL,0))</f>
        <v/>
      </c>
      <c r="D12" s="11" t="inlineStr">
        <is>
          <t>mm</t>
        </is>
      </c>
      <c r="E12" s="16" t="inlineStr">
        <is>
          <t>Anchored to documented T3/S3 = 200/225 mm.</t>
        </is>
      </c>
    </row>
    <row r="13">
      <c r="B13" s="9" t="inlineStr">
        <is>
          <t>Sub-base (granular)</t>
        </is>
      </c>
      <c r="C13" s="23">
        <f>INDEX(ORN_SBV,MATCH(Sclass,ORN_SL2,0))</f>
        <v/>
      </c>
      <c r="D13" s="11" t="inlineStr">
        <is>
          <t>mm</t>
        </is>
      </c>
    </row>
    <row r="14">
      <c r="B14" s="9" t="inlineStr">
        <is>
          <t>Capping</t>
        </is>
      </c>
      <c r="C14" s="27">
        <f>INDEX(ORN_CAPV,MATCH(Sclass,ORN_SL2,0))</f>
        <v/>
      </c>
      <c r="D14" s="11" t="inlineStr">
        <is>
          <t>mm</t>
        </is>
      </c>
    </row>
    <row r="15">
      <c r="B15" s="9" t="inlineStr">
        <is>
          <t>Total granular + surfacing</t>
        </is>
      </c>
      <c r="C15" s="23">
        <f>ORN_RB+ORN_SBt+ORN_CAP+IF(OR(Tclass="T7",Tclass="T8"),100,20)</f>
        <v/>
      </c>
      <c r="D15" s="11" t="inlineStr">
        <is>
          <t>mm</t>
        </is>
      </c>
    </row>
  </sheetData>
  <mergeCells count="4">
    <mergeCell ref="B2:F2"/>
    <mergeCell ref="B4:G4"/>
    <mergeCell ref="B10:G10"/>
    <mergeCell ref="B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Flexible — Nepal DoR 2021 (indicative)</t>
        </is>
      </c>
    </row>
    <row r="2" ht="16" customHeight="1">
      <c r="A2" s="1" t="n"/>
      <c r="B2" s="3" t="inlineStr">
        <is>
          <t>Low-volume (&lt;2 msa) or IRC 37-2018 track (&gt;=2 msa)</t>
        </is>
      </c>
    </row>
    <row r="4" ht="20" customHeight="1">
      <c r="B4" s="8" t="inlineStr">
        <is>
          <t>Design</t>
        </is>
      </c>
    </row>
    <row r="5">
      <c r="B5" s="9" t="inlineStr">
        <is>
          <t>Design traffic (MSA)</t>
        </is>
      </c>
      <c r="C5" s="14">
        <f>msa</f>
        <v/>
      </c>
      <c r="D5" s="11" t="inlineStr">
        <is>
          <t>msa</t>
        </is>
      </c>
    </row>
    <row r="6">
      <c r="B6" s="9" t="inlineStr">
        <is>
          <t>Design CBR</t>
        </is>
      </c>
      <c r="C6" s="21">
        <f>designCBR</f>
        <v/>
      </c>
      <c r="D6" s="11" t="inlineStr">
        <is>
          <t>%</t>
        </is>
      </c>
    </row>
    <row r="7">
      <c r="B7" s="9" t="inlineStr">
        <is>
          <t>Track</t>
        </is>
      </c>
      <c r="C7" s="18">
        <f>IF(msa&lt;2,"Low-volume roads","IRC:37-2018")</f>
        <v/>
      </c>
      <c r="E7" s="16" t="inlineStr">
        <is>
          <t>DoR 2021 adopts IRC 37-2018 for &gt; 2 msa.</t>
        </is>
      </c>
    </row>
    <row r="8">
      <c r="B8" s="9" t="inlineStr">
        <is>
          <t>Bituminous (BC/DBM)</t>
        </is>
      </c>
      <c r="C8" s="23">
        <f>IF(msa&lt;2,50,IF(msa&lt;5,90,IF(msa&lt;10,110,IF(msa&lt;20,140,IF(msa&lt;30,165,190)))))</f>
        <v/>
      </c>
      <c r="D8" s="11" t="inlineStr">
        <is>
          <t>mm</t>
        </is>
      </c>
    </row>
    <row r="9">
      <c r="B9" s="9" t="inlineStr">
        <is>
          <t>Granular base (WMM)</t>
        </is>
      </c>
      <c r="C9" s="23">
        <f>IF(msa&lt;2,225,250)</f>
        <v/>
      </c>
      <c r="D9" s="11" t="inlineStr">
        <is>
          <t>mm</t>
        </is>
      </c>
    </row>
    <row r="10">
      <c r="B10" s="9" t="inlineStr">
        <is>
          <t>Granular sub-base (GSB)</t>
        </is>
      </c>
      <c r="C10" s="23">
        <f>IF(designCBR&gt;=10,200,IF(designCBR&gt;=6,250,IF(designCBR&gt;=4,300,380)))</f>
        <v/>
      </c>
      <c r="D10" s="11" t="inlineStr">
        <is>
          <t>mm</t>
        </is>
      </c>
    </row>
    <row r="11">
      <c r="B11" s="9" t="inlineStr">
        <is>
          <t>Total</t>
        </is>
      </c>
      <c r="C11" s="23">
        <f>DoR_BIT+DoR_BASE+DoR_SUB</f>
        <v/>
      </c>
      <c r="D11" s="11" t="inlineStr">
        <is>
          <t>mm</t>
        </is>
      </c>
    </row>
  </sheetData>
  <mergeCells count="3">
    <mergeCell ref="B2:F2"/>
    <mergeCell ref="B4:G4"/>
    <mergeCell ref="B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Rigid — AASHTO 1993 (slab thickness)</t>
        </is>
      </c>
    </row>
    <row r="2" ht="16" customHeight="1">
      <c r="A2" s="1" t="n"/>
      <c r="B2" s="1" t="n"/>
      <c r="C2" s="1" t="n"/>
      <c r="D2" s="1" t="n"/>
      <c r="E2" s="1" t="n"/>
      <c r="F2" s="1" t="n"/>
    </row>
    <row r="4" ht="20" customHeight="1">
      <c r="B4" s="8" t="inlineStr">
        <is>
          <t>Inputs</t>
        </is>
      </c>
    </row>
    <row r="5">
      <c r="B5" s="9" t="inlineStr">
        <is>
          <t>Design ESAL W18</t>
        </is>
      </c>
      <c r="C5" s="15">
        <f>cumESA</f>
        <v/>
      </c>
      <c r="D5" s="11" t="inlineStr">
        <is>
          <t>ESA</t>
        </is>
      </c>
    </row>
    <row r="6">
      <c r="B6" s="9" t="inlineStr">
        <is>
          <t>Reliability</t>
        </is>
      </c>
      <c r="C6" s="25" t="n">
        <v>0.95</v>
      </c>
    </row>
    <row r="7">
      <c r="B7" s="9" t="inlineStr">
        <is>
          <t>Overall std. deviation S0</t>
        </is>
      </c>
      <c r="C7" s="10" t="n">
        <v>0.35</v>
      </c>
    </row>
    <row r="8">
      <c r="B8" s="9" t="inlineStr">
        <is>
          <t>Initial serviceability p0</t>
        </is>
      </c>
      <c r="C8" s="10" t="n">
        <v>4.5</v>
      </c>
    </row>
    <row r="9">
      <c r="B9" s="9" t="inlineStr">
        <is>
          <t>Terminal serviceability pt</t>
        </is>
      </c>
      <c r="C9" s="10" t="n">
        <v>2.5</v>
      </c>
    </row>
    <row r="10">
      <c r="B10" s="9" t="inlineStr">
        <is>
          <t>Serviceability loss dPSI</t>
        </is>
      </c>
      <c r="C10" s="21">
        <f>C8-C9</f>
        <v/>
      </c>
    </row>
    <row r="11">
      <c r="B11" s="9" t="inlineStr">
        <is>
          <t>Load transfer J</t>
        </is>
      </c>
      <c r="C11" s="10" t="n">
        <v>3.2</v>
      </c>
      <c r="E11" s="20" t="inlineStr">
        <is>
          <t>3.2 doweled, 2.7 tied, 3.8 undoweled</t>
        </is>
      </c>
    </row>
    <row r="12">
      <c r="B12" s="9" t="inlineStr">
        <is>
          <t>Drainage Cd</t>
        </is>
      </c>
      <c r="C12" s="10" t="n">
        <v>1</v>
      </c>
    </row>
    <row r="13">
      <c r="B13" s="9" t="inlineStr">
        <is>
          <t>Flexural strength Sc' (psi)</t>
        </is>
      </c>
      <c r="C13" s="15">
        <f>MRup*145.0377</f>
        <v/>
      </c>
      <c r="D13" s="11" t="inlineStr">
        <is>
          <t>psi</t>
        </is>
      </c>
    </row>
    <row r="14">
      <c r="B14" s="9" t="inlineStr">
        <is>
          <t>Concrete Ec (psi)</t>
        </is>
      </c>
      <c r="C14" s="15">
        <f>Ec*145.0377</f>
        <v/>
      </c>
      <c r="D14" s="11" t="inlineStr">
        <is>
          <t>psi</t>
        </is>
      </c>
    </row>
    <row r="15">
      <c r="B15" s="9" t="inlineStr">
        <is>
          <t>k (pci)</t>
        </is>
      </c>
      <c r="C15" s="27">
        <f>kVal/0.271447</f>
        <v/>
      </c>
      <c r="D15" s="11" t="inlineStr">
        <is>
          <t>pci</t>
        </is>
      </c>
    </row>
    <row r="16">
      <c r="B16" s="9" t="inlineStr">
        <is>
          <t>ZR</t>
        </is>
      </c>
      <c r="C16" s="24">
        <f>NORM.S.INV(1-Rel_rig)</f>
        <v/>
      </c>
    </row>
    <row r="18" ht="20" customHeight="1">
      <c r="B18" s="8" t="inlineStr">
        <is>
          <t>Required slab thickness</t>
        </is>
      </c>
    </row>
    <row r="19">
      <c r="B19" s="9" t="inlineStr">
        <is>
          <t>Required log10(W18)</t>
        </is>
      </c>
      <c r="C19" s="24">
        <f>LOG10(C5)</f>
        <v/>
      </c>
    </row>
    <row r="20">
      <c r="B20" s="9" t="inlineStr">
        <is>
          <t>Required D</t>
        </is>
      </c>
      <c r="C20" s="14">
        <f>INDEX(D_COL,MATCH(reqLW_rig,RIGPRED_COL,1))+(reqLW_rig-INDEX(RIGPRED_COL,MATCH(reqLW_rig,RIGPRED_COL,1)))/(INDEX(RIGPRED_COL,MATCH(reqLW_rig,RIGPRED_COL,1)+1)-INDEX(RIGPRED_COL,MATCH(reqLW_rig,RIGPRED_COL,1)))*0.1</f>
        <v/>
      </c>
      <c r="D20" s="11" t="inlineStr">
        <is>
          <t>in</t>
        </is>
      </c>
    </row>
    <row r="21">
      <c r="B21" s="9" t="inlineStr">
        <is>
          <t>Required slab thickness D</t>
        </is>
      </c>
      <c r="C21" s="23">
        <f>Drig_in*25.4</f>
        <v/>
      </c>
      <c r="D21" s="11" t="inlineStr">
        <is>
          <t>mm</t>
        </is>
      </c>
    </row>
  </sheetData>
  <mergeCells count="3">
    <mergeCell ref="B4:G4"/>
    <mergeCell ref="B18:G18"/>
    <mergeCell ref="B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Rigid — IRC 58-2015 (stress + fatigue)</t>
        </is>
      </c>
    </row>
    <row r="2" ht="16" customHeight="1">
      <c r="A2" s="1" t="n"/>
      <c r="B2" s="3" t="inlineStr">
        <is>
          <t>Westergaard load stress (or input IITRIGID FE stress) + Bradbury temperature</t>
        </is>
      </c>
    </row>
    <row r="4" ht="20" customHeight="1">
      <c r="B4" s="8" t="inlineStr">
        <is>
          <t>Inputs</t>
        </is>
      </c>
    </row>
    <row r="5">
      <c r="B5" s="9" t="inlineStr">
        <is>
          <t>Trial slab thickness h</t>
        </is>
      </c>
      <c r="C5" s="10" t="n">
        <v>280</v>
      </c>
      <c r="D5" s="11" t="inlineStr">
        <is>
          <t>mm</t>
        </is>
      </c>
    </row>
    <row r="6">
      <c r="B6" s="9" t="inlineStr">
        <is>
          <t>Critical wheel/axle load P</t>
        </is>
      </c>
      <c r="C6" s="10" t="n">
        <v>80</v>
      </c>
      <c r="D6" s="11" t="inlineStr">
        <is>
          <t>kN</t>
        </is>
      </c>
    </row>
    <row r="7">
      <c r="B7" s="9" t="inlineStr">
        <is>
          <t>Tyre pressure</t>
        </is>
      </c>
      <c r="C7" s="10" t="n">
        <v>0.8</v>
      </c>
      <c r="D7" s="11" t="inlineStr">
        <is>
          <t>MPa</t>
        </is>
      </c>
    </row>
    <row r="8">
      <c r="B8" s="9" t="inlineStr">
        <is>
          <t>Concrete Ec</t>
        </is>
      </c>
      <c r="C8" s="15">
        <f>Ec</f>
        <v/>
      </c>
      <c r="D8" s="11" t="inlineStr">
        <is>
          <t>MPa</t>
        </is>
      </c>
    </row>
    <row r="9">
      <c r="B9" s="9" t="inlineStr">
        <is>
          <t>Poisson's ratio</t>
        </is>
      </c>
      <c r="C9" s="10" t="n">
        <v>0.15</v>
      </c>
    </row>
    <row r="10">
      <c r="B10" s="9" t="inlineStr">
        <is>
          <t>Flexural strength</t>
        </is>
      </c>
      <c r="C10" s="14">
        <f>MRup</f>
        <v/>
      </c>
      <c r="D10" s="11" t="inlineStr">
        <is>
          <t>MPa</t>
        </is>
      </c>
    </row>
    <row r="11">
      <c r="B11" s="9" t="inlineStr">
        <is>
          <t>k-value</t>
        </is>
      </c>
      <c r="C11" s="27">
        <f>kVal</f>
        <v/>
      </c>
      <c r="D11" s="11" t="inlineStr">
        <is>
          <t>MPa/m</t>
        </is>
      </c>
    </row>
    <row r="12">
      <c r="B12" s="9" t="inlineStr">
        <is>
          <t>Thermal coefficient alpha</t>
        </is>
      </c>
      <c r="C12" s="10" t="n">
        <v>1e-05</v>
      </c>
      <c r="D12" s="11" t="inlineStr">
        <is>
          <t>/C</t>
        </is>
      </c>
    </row>
    <row r="13">
      <c r="B13" s="9" t="inlineStr">
        <is>
          <t>Temperature differential dT</t>
        </is>
      </c>
      <c r="C13" s="10" t="n">
        <v>13</v>
      </c>
      <c r="D13" s="11" t="inlineStr">
        <is>
          <t>C</t>
        </is>
      </c>
    </row>
    <row r="14">
      <c r="B14" s="9" t="inlineStr">
        <is>
          <t>Slab length (joint spacing)</t>
        </is>
      </c>
      <c r="C14" s="10" t="n">
        <v>4500</v>
      </c>
      <c r="D14" s="11" t="inlineStr">
        <is>
          <t>mm</t>
        </is>
      </c>
    </row>
    <row r="15">
      <c r="B15" s="9" t="inlineStr">
        <is>
          <t>Axle repetitions</t>
        </is>
      </c>
      <c r="C15" s="10" t="n">
        <v>1000000</v>
      </c>
    </row>
    <row r="16">
      <c r="B16" s="9" t="inlineStr">
        <is>
          <t>FE load stress (0 = Westergaard)</t>
        </is>
      </c>
      <c r="C16" s="10" t="n">
        <v>0</v>
      </c>
      <c r="D16" s="11" t="inlineStr">
        <is>
          <t>MPa</t>
        </is>
      </c>
    </row>
    <row r="18" ht="20" customHeight="1">
      <c r="B18" s="8" t="inlineStr">
        <is>
          <t>Stress &amp; fatigue</t>
        </is>
      </c>
    </row>
    <row r="19">
      <c r="B19" s="9" t="inlineStr">
        <is>
          <t>Radius of relative stiffness l</t>
        </is>
      </c>
      <c r="C19" s="27">
        <f>(Ec*h_slab^3/(12*(1-mu_pr^2)*(kVal/1000)))^0.25</f>
        <v/>
      </c>
      <c r="D19" s="11" t="inlineStr">
        <is>
          <t>mm</t>
        </is>
      </c>
    </row>
    <row r="20">
      <c r="B20" s="9" t="inlineStr">
        <is>
          <t>Contact radius a</t>
        </is>
      </c>
      <c r="C20" s="27">
        <f>SQRT(P_axle*1000/(PI()*q_tyre))</f>
        <v/>
      </c>
      <c r="D20" s="11" t="inlineStr">
        <is>
          <t>mm</t>
        </is>
      </c>
    </row>
    <row r="21">
      <c r="B21" s="9" t="inlineStr">
        <is>
          <t>Equivalent radius b</t>
        </is>
      </c>
      <c r="C21" s="27">
        <f>IF(a_rad/h_slab&lt;1.724,SQRT(1.6*a_rad^2+h_slab^2)-0.675*h_slab,a_rad)</f>
        <v/>
      </c>
      <c r="D21" s="11" t="inlineStr">
        <is>
          <t>mm</t>
        </is>
      </c>
    </row>
    <row r="22">
      <c r="B22" s="9" t="inlineStr">
        <is>
          <t>Load (edge) stress</t>
        </is>
      </c>
      <c r="C22" s="14">
        <f>IF(fe_str&gt;0,fe_str,0.803*(P_axle*1000/h_slab^2)*(4*LOG10(l_rrs/b_rad)+0.666*(b_rad/l_rrs)-0.034))</f>
        <v/>
      </c>
      <c r="D22" s="11" t="inlineStr">
        <is>
          <t>MPa</t>
        </is>
      </c>
    </row>
    <row r="23">
      <c r="B23" s="9" t="inlineStr">
        <is>
          <t>Bradbury coefficient C</t>
        </is>
      </c>
      <c r="C23" s="24">
        <f>FORECAST(MIN(MAX(Lj_slab/l_rrs,1),11.99),OFFSET(INDEX(BRAD_Y,MATCH(MIN(MAX(Lj_slab/l_rrs,1),11.99),BRAD_X,1)),0,0,2),OFFSET(INDEX(BRAD_X,MATCH(MIN(MAX(Lj_slab/l_rrs,1),11.99),BRAD_X,1)),0,0,2))</f>
        <v/>
      </c>
    </row>
    <row r="24">
      <c r="B24" s="9" t="inlineStr">
        <is>
          <t>Temperature (warping) stress</t>
        </is>
      </c>
      <c r="C24" s="14">
        <f>bradC*Ec*alpha_t*dTemp_c/2</f>
        <v/>
      </c>
      <c r="D24" s="11" t="inlineStr">
        <is>
          <t>MPa</t>
        </is>
      </c>
    </row>
    <row r="25">
      <c r="B25" s="9" t="inlineStr">
        <is>
          <t>Combined edge stress</t>
        </is>
      </c>
      <c r="C25" s="17">
        <f>ld_str+t_str</f>
        <v/>
      </c>
      <c r="D25" s="11" t="inlineStr">
        <is>
          <t>MPa</t>
        </is>
      </c>
    </row>
    <row r="26">
      <c r="B26" s="9" t="inlineStr">
        <is>
          <t>Stress ratio SR</t>
        </is>
      </c>
      <c r="C26" s="28">
        <f>c_str/MRup</f>
        <v/>
      </c>
    </row>
    <row r="27">
      <c r="B27" s="9" t="inlineStr">
        <is>
          <t>Allowable repetitions</t>
        </is>
      </c>
      <c r="C27" s="15">
        <f>IF(SR_v&lt;0.45,"Infinite",IF(SR_v&lt;0.55,(4.2577/(SR_v-0.4325))^3.268,10^((0.9718-SR_v)/0.0828)))</f>
        <v/>
      </c>
    </row>
    <row r="28">
      <c r="B28" s="9" t="inlineStr">
        <is>
          <t>Fatigue check (CFD &lt;= 1)</t>
        </is>
      </c>
      <c r="C28" s="13">
        <f>IF(SR_v&lt;0.45,"PASS (inf life)",IF(reps_v/N_all&lt;=1,"PASS","FAIL"))</f>
        <v/>
      </c>
    </row>
    <row r="30" ht="20" customHeight="1">
      <c r="B30" s="8" t="inlineStr">
        <is>
          <t>Joints (indicative)</t>
        </is>
      </c>
    </row>
    <row r="31">
      <c r="B31" s="9" t="inlineStr">
        <is>
          <t>Tie bar area (12mm, Sst 200)</t>
        </is>
      </c>
      <c r="C31" s="27">
        <f>1.5*(h_slab/1000*24)*(3.5/2)*1000/200</f>
        <v/>
      </c>
      <c r="D31" s="11" t="inlineStr">
        <is>
          <t>mm2/m</t>
        </is>
      </c>
    </row>
    <row r="32">
      <c r="B32" s="9" t="inlineStr">
        <is>
          <t>Dowel bar (by thickness)</t>
        </is>
      </c>
      <c r="C32" s="13">
        <f>IF(h_slab&lt;=200,"25mm x 360",IF(h_slab&lt;=250,"32mm x 450",IF(h_slab&lt;=300,"36mm x 450","38mm x 500")))</f>
        <v/>
      </c>
    </row>
  </sheetData>
  <mergeCells count="5">
    <mergeCell ref="B2:F2"/>
    <mergeCell ref="B4:G4"/>
    <mergeCell ref="B18:G18"/>
    <mergeCell ref="B1:F1"/>
    <mergeCell ref="B30:G30"/>
  </mergeCells>
  <conditionalFormatting sqref="C28">
    <cfRule type="expression" priority="1" dxfId="0">
      <formula>ISNUMBER(SEARCH("PASS",C28))</formula>
    </cfRule>
    <cfRule type="expression" priority="2" dxfId="1">
      <formula>OR(ISNUMBER(SEARCH("FAIL",C28)),ISNUMBER(SEARCH("REVISE",C28)))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2" customWidth="1" min="4" max="4"/>
    <col width="46" customWidth="1" min="5" max="5"/>
  </cols>
  <sheetData>
    <row r="1" ht="26" customHeight="1">
      <c r="A1" s="1" t="n"/>
      <c r="B1" s="2" t="inlineStr">
        <is>
          <t>Combined / overlay (AASHTO 1993)</t>
        </is>
      </c>
    </row>
    <row r="2" ht="16" customHeight="1">
      <c r="A2" s="1" t="n"/>
      <c r="B2" s="1" t="n"/>
      <c r="C2" s="1" t="n"/>
      <c r="D2" s="1" t="n"/>
      <c r="E2" s="1" t="n"/>
      <c r="F2" s="1" t="n"/>
    </row>
    <row r="4" ht="20" customHeight="1">
      <c r="B4" s="8" t="inlineStr">
        <is>
          <t>Asphalt overlay over flexible pavement</t>
        </is>
      </c>
    </row>
    <row r="5">
      <c r="B5" s="9" t="inlineStr">
        <is>
          <t>Required SN (future traffic)</t>
        </is>
      </c>
      <c r="C5" s="14">
        <f>SNreq</f>
        <v/>
      </c>
    </row>
    <row r="6">
      <c r="B6" s="9" t="inlineStr">
        <is>
          <t>Effective SN of existing pavement</t>
        </is>
      </c>
      <c r="C6" s="10" t="n">
        <v>3</v>
      </c>
    </row>
    <row r="7">
      <c r="B7" s="9" t="inlineStr">
        <is>
          <t>Overlay layer coefficient a</t>
        </is>
      </c>
      <c r="C7" s="10" t="n">
        <v>0.44</v>
      </c>
    </row>
    <row r="8">
      <c r="B8" s="9" t="inlineStr">
        <is>
          <t>SN deficiency</t>
        </is>
      </c>
      <c r="C8" s="14">
        <f>MAX(0,SNreq-SNeff)</f>
        <v/>
      </c>
    </row>
    <row r="9">
      <c r="B9" s="9" t="inlineStr">
        <is>
          <t>AC overlay thickness</t>
        </is>
      </c>
      <c r="C9" s="23">
        <f>SNdef/ov_coeff*25.4</f>
        <v/>
      </c>
      <c r="D9" s="11" t="inlineStr">
        <is>
          <t>mm</t>
        </is>
      </c>
    </row>
    <row r="11" ht="20" customHeight="1">
      <c r="B11" s="8" t="inlineStr">
        <is>
          <t>Asphalt overlay over rigid pavement</t>
        </is>
      </c>
    </row>
    <row r="12">
      <c r="B12" s="9" t="inlineStr">
        <is>
          <t>Required slab (future traffic)</t>
        </is>
      </c>
      <c r="C12" s="27">
        <f>Drig_mm</f>
        <v/>
      </c>
      <c r="D12" s="11" t="inlineStr">
        <is>
          <t>mm</t>
        </is>
      </c>
    </row>
    <row r="13">
      <c r="B13" s="9" t="inlineStr">
        <is>
          <t>Effective existing slab</t>
        </is>
      </c>
      <c r="C13" s="10" t="n">
        <v>220</v>
      </c>
      <c r="D13" s="11" t="inlineStr">
        <is>
          <t>mm</t>
        </is>
      </c>
    </row>
    <row r="14">
      <c r="B14" s="9" t="inlineStr">
        <is>
          <t>Overlay factor A</t>
        </is>
      </c>
      <c r="C14" s="10" t="n">
        <v>2.2233</v>
      </c>
    </row>
    <row r="15">
      <c r="B15" s="9" t="inlineStr">
        <is>
          <t>AC overlay thickness</t>
        </is>
      </c>
      <c r="C15" s="23">
        <f>ov_factor*MAX(0,Drig_mm-Deff)</f>
        <v/>
      </c>
      <c r="D15" s="11" t="inlineStr">
        <is>
          <t>mm</t>
        </is>
      </c>
    </row>
  </sheetData>
  <mergeCells count="3">
    <mergeCell ref="B11:G11"/>
    <mergeCell ref="B4:G4"/>
    <mergeCell ref="B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14" customWidth="1" min="4" max="4"/>
    <col width="40" customWidth="1" min="5" max="5"/>
  </cols>
  <sheetData>
    <row r="1" ht="26" customHeight="1">
      <c r="A1" s="1" t="n"/>
      <c r="B1" s="2" t="inlineStr">
        <is>
          <t>Design summary</t>
        </is>
      </c>
    </row>
    <row r="2" ht="16" customHeight="1">
      <c r="A2" s="1" t="n"/>
      <c r="B2" s="3" t="inlineStr">
        <is>
          <t>Key results from all methods</t>
        </is>
      </c>
    </row>
    <row r="4" ht="20" customHeight="1">
      <c r="B4" s="8" t="inlineStr">
        <is>
          <t>Inputs</t>
        </is>
      </c>
    </row>
    <row r="5">
      <c r="B5" s="9" t="inlineStr">
        <is>
          <t>Design traffic (MSA)</t>
        </is>
      </c>
      <c r="C5" s="13">
        <f>msa</f>
        <v/>
      </c>
      <c r="D5" s="11" t="inlineStr">
        <is>
          <t>msa</t>
        </is>
      </c>
    </row>
    <row r="6">
      <c r="B6" s="9" t="inlineStr">
        <is>
          <t>ORN 31 traffic class</t>
        </is>
      </c>
      <c r="C6" s="13">
        <f>Tclass</f>
        <v/>
      </c>
    </row>
    <row r="7">
      <c r="B7" s="9" t="inlineStr">
        <is>
          <t>Design CBR</t>
        </is>
      </c>
      <c r="C7" s="13">
        <f>designCBR</f>
        <v/>
      </c>
      <c r="D7" s="11" t="inlineStr">
        <is>
          <t>%</t>
        </is>
      </c>
    </row>
    <row r="8">
      <c r="B8" s="9" t="inlineStr">
        <is>
          <t>Subgrade MR</t>
        </is>
      </c>
      <c r="C8" s="13">
        <f>MR_MPa</f>
        <v/>
      </c>
      <c r="D8" s="11" t="inlineStr">
        <is>
          <t>MPa</t>
        </is>
      </c>
    </row>
    <row r="9">
      <c r="B9" s="9" t="inlineStr">
        <is>
          <t>k-value</t>
        </is>
      </c>
      <c r="C9" s="13">
        <f>kVal</f>
        <v/>
      </c>
      <c r="D9" s="11" t="inlineStr">
        <is>
          <t>MPa/m</t>
        </is>
      </c>
    </row>
    <row r="10">
      <c r="B10" s="9" t="inlineStr">
        <is>
          <t>ORN 31 subgrade class</t>
        </is>
      </c>
      <c r="C10" s="13">
        <f>Sclass</f>
        <v/>
      </c>
    </row>
    <row r="12" ht="20" customHeight="1">
      <c r="B12" s="8" t="inlineStr">
        <is>
          <t>Flexible designs</t>
        </is>
      </c>
    </row>
    <row r="13">
      <c r="B13" s="9" t="inlineStr">
        <is>
          <t>Nepal DoR 2021 (total)</t>
        </is>
      </c>
      <c r="C13" s="23">
        <f>DoR_TOT</f>
        <v/>
      </c>
      <c r="D13" s="11" t="inlineStr">
        <is>
          <t>mm</t>
        </is>
      </c>
    </row>
    <row r="14">
      <c r="B14" s="9" t="inlineStr">
        <is>
          <t>ORN 31 (granular total)</t>
        </is>
      </c>
      <c r="C14" s="23">
        <f>ORN_TOT</f>
        <v/>
      </c>
      <c r="D14" s="11" t="inlineStr">
        <is>
          <t>mm</t>
        </is>
      </c>
    </row>
    <row r="15">
      <c r="B15" s="9" t="inlineStr">
        <is>
          <t>AASHTO 93 - required SN</t>
        </is>
      </c>
      <c r="C15" s="14">
        <f>SNreq</f>
        <v/>
      </c>
    </row>
    <row r="16">
      <c r="B16" s="9" t="inlineStr">
        <is>
          <t>AASHTO 93 - provided SN</t>
        </is>
      </c>
      <c r="C16" s="14">
        <f>SNprov</f>
        <v/>
      </c>
    </row>
    <row r="17">
      <c r="B17" s="9" t="inlineStr">
        <is>
          <t>IRC 37 - fatigue &amp; rutting</t>
        </is>
      </c>
      <c r="C17" s="13">
        <f>IF(AND(DesRep&lt;=Nf_a,DesRep&lt;=Nr_a),"OK","Review")</f>
        <v/>
      </c>
    </row>
    <row r="19" ht="20" customHeight="1">
      <c r="B19" s="8" t="inlineStr">
        <is>
          <t>Rigid designs</t>
        </is>
      </c>
    </row>
    <row r="20">
      <c r="B20" s="9" t="inlineStr">
        <is>
          <t>AASHTO 93 - slab thickness</t>
        </is>
      </c>
      <c r="C20" s="23">
        <f>Drig_mm</f>
        <v/>
      </c>
      <c r="D20" s="11" t="inlineStr">
        <is>
          <t>mm</t>
        </is>
      </c>
    </row>
    <row r="21">
      <c r="B21" s="9" t="inlineStr">
        <is>
          <t>IRC 58 - stress ratio</t>
        </is>
      </c>
      <c r="C21" s="28">
        <f>SR_v</f>
        <v/>
      </c>
    </row>
    <row r="22">
      <c r="B22" s="9" t="inlineStr">
        <is>
          <t>IRC 58 - trial slab</t>
        </is>
      </c>
      <c r="C22" s="27">
        <f>h_slab</f>
        <v/>
      </c>
      <c r="D22" s="11" t="inlineStr">
        <is>
          <t>mm</t>
        </is>
      </c>
    </row>
  </sheetData>
  <mergeCells count="5">
    <mergeCell ref="B19:G19"/>
    <mergeCell ref="B2:F2"/>
    <mergeCell ref="B4:G4"/>
    <mergeCell ref="B12:G12"/>
    <mergeCell ref="B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2" customWidth="1" min="2" max="2"/>
    <col width="10" customWidth="1" min="3" max="3"/>
    <col width="10" customWidth="1" min="4" max="4"/>
    <col width="10" customWidth="1" min="5" max="5"/>
  </cols>
  <sheetData>
    <row r="1" ht="26" customHeight="1">
      <c r="A1" s="1" t="n"/>
      <c r="B1" s="2" t="inlineStr">
        <is>
          <t>References &amp; notes</t>
        </is>
      </c>
    </row>
    <row r="2" ht="16" customHeight="1">
      <c r="A2" s="1" t="n"/>
      <c r="B2" s="1" t="n"/>
      <c r="C2" s="1" t="n"/>
      <c r="D2" s="1" t="n"/>
      <c r="E2" s="1" t="n"/>
      <c r="F2" s="1" t="n"/>
    </row>
    <row r="4">
      <c r="B4" s="6" t="inlineStr">
        <is>
          <t>AASHTO. Guide for Design of Pavement Structures, 1993.</t>
        </is>
      </c>
    </row>
    <row r="5">
      <c r="B5" s="6" t="inlineStr">
        <is>
          <t>IRC:37-2018. Guidelines for the Design of Flexible Pavements. Indian Roads Congress.</t>
        </is>
      </c>
    </row>
    <row r="6">
      <c r="B6" s="6" t="inlineStr">
        <is>
          <t>IRC:58-2015. Guidelines for the Design of Plain Jointed Rigid Pavements for Highways.</t>
        </is>
      </c>
    </row>
    <row r="7">
      <c r="B7" s="6" t="inlineStr">
        <is>
          <t>TRL. Overseas Road Note 31 - Structural Design of Bitumen-surfaced Roads in Tropical Countries.</t>
        </is>
      </c>
    </row>
    <row r="8">
      <c r="B8" s="6" t="inlineStr">
        <is>
          <t>DoR Nepal. Guidelines for the Design of Flexible Pavement, 2nd Revision, 2021.</t>
        </is>
      </c>
    </row>
    <row r="9">
      <c r="B9" s="6" t="inlineStr">
        <is>
          <t>IS:456 - concrete modulus and flexural strength relationships.</t>
        </is>
      </c>
    </row>
    <row r="10">
      <c r="B10" s="6" t="inlineStr"/>
    </row>
    <row r="11">
      <c r="B11" s="5" t="inlineStr">
        <is>
          <t>Notes:</t>
        </is>
      </c>
    </row>
    <row r="12">
      <c r="B12" s="6" t="inlineStr">
        <is>
          <t>- Editable (amber) cells are inputs; grey cells are computed; gold cells are headline results.</t>
        </is>
      </c>
    </row>
    <row r="13">
      <c r="B13" s="6" t="inlineStr">
        <is>
          <t>- AASHTO SN and slab thickness D are solved from the published equations via the hidden Calc tab.</t>
        </is>
      </c>
    </row>
    <row r="14">
      <c r="B14" s="6" t="inlineStr">
        <is>
          <t>- ORN 31 / DoR catalogue thicknesses are INDICATIVE - confirm against the official charts.</t>
        </is>
      </c>
    </row>
    <row r="15">
      <c r="B15" s="6" t="inlineStr">
        <is>
          <t>- IRC 37 strains must come from IITPAVE; IRC 58 load stress from IITRIGID for exact use.</t>
        </is>
      </c>
    </row>
  </sheetData>
  <mergeCells count="1">
    <mergeCell ref="B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41"/>
  <sheetViews>
    <sheetView showGridLines="0" workbookViewId="0">
      <selection activeCell="A1" sqref="A1"/>
    </sheetView>
  </sheetViews>
  <sheetFormatPr baseColWidth="8" defaultRowHeight="15"/>
  <sheetData>
    <row r="1">
      <c r="A1" s="29" t="inlineStr">
        <is>
          <t>Lookup &amp; solver tables — do not edit (referenced by other sheets).</t>
        </is>
      </c>
    </row>
    <row r="4">
      <c r="A4" t="n">
        <v>0</v>
      </c>
      <c r="B4" t="inlineStr">
        <is>
          <t>T1</t>
        </is>
      </c>
      <c r="D4" t="n">
        <v>0</v>
      </c>
      <c r="E4" t="inlineStr">
        <is>
          <t>S1</t>
        </is>
      </c>
      <c r="G4" t="inlineStr">
        <is>
          <t>T1</t>
        </is>
      </c>
      <c r="H4" t="n">
        <v>150</v>
      </c>
      <c r="J4" t="inlineStr">
        <is>
          <t>S1</t>
        </is>
      </c>
      <c r="K4" t="n">
        <v>300</v>
      </c>
      <c r="L4" t="n">
        <v>300</v>
      </c>
      <c r="N4" t="n">
        <v>2</v>
      </c>
      <c r="O4" t="n">
        <v>21</v>
      </c>
      <c r="Q4" t="n">
        <v>1</v>
      </c>
      <c r="R4" t="n">
        <v>0</v>
      </c>
    </row>
    <row r="5">
      <c r="A5" t="n">
        <v>0.3</v>
      </c>
      <c r="B5" t="inlineStr">
        <is>
          <t>T2</t>
        </is>
      </c>
      <c r="D5" t="n">
        <v>3</v>
      </c>
      <c r="E5" t="inlineStr">
        <is>
          <t>S2</t>
        </is>
      </c>
      <c r="G5" t="inlineStr">
        <is>
          <t>T2</t>
        </is>
      </c>
      <c r="H5" t="n">
        <v>175</v>
      </c>
      <c r="J5" t="inlineStr">
        <is>
          <t>S2</t>
        </is>
      </c>
      <c r="K5" t="n">
        <v>300</v>
      </c>
      <c r="L5" t="n">
        <v>150</v>
      </c>
      <c r="N5" t="n">
        <v>3</v>
      </c>
      <c r="O5" t="n">
        <v>28</v>
      </c>
      <c r="Q5" t="n">
        <v>2</v>
      </c>
      <c r="R5" t="n">
        <v>0.04</v>
      </c>
    </row>
    <row r="6">
      <c r="A6" t="n">
        <v>0.7</v>
      </c>
      <c r="B6" t="inlineStr">
        <is>
          <t>T3</t>
        </is>
      </c>
      <c r="D6" t="n">
        <v>5</v>
      </c>
      <c r="E6" t="inlineStr">
        <is>
          <t>S3</t>
        </is>
      </c>
      <c r="G6" t="inlineStr">
        <is>
          <t>T3</t>
        </is>
      </c>
      <c r="H6" t="n">
        <v>200</v>
      </c>
      <c r="J6" t="inlineStr">
        <is>
          <t>S3</t>
        </is>
      </c>
      <c r="K6" t="n">
        <v>225</v>
      </c>
      <c r="L6" t="n">
        <v>0</v>
      </c>
      <c r="N6" t="n">
        <v>4</v>
      </c>
      <c r="O6" t="n">
        <v>35</v>
      </c>
      <c r="Q6" t="n">
        <v>3</v>
      </c>
      <c r="R6" t="n">
        <v>0.175</v>
      </c>
    </row>
    <row r="7">
      <c r="A7" t="n">
        <v>1.5</v>
      </c>
      <c r="B7" t="inlineStr">
        <is>
          <t>T4</t>
        </is>
      </c>
      <c r="D7" t="n">
        <v>8</v>
      </c>
      <c r="E7" t="inlineStr">
        <is>
          <t>S4</t>
        </is>
      </c>
      <c r="G7" t="inlineStr">
        <is>
          <t>T4</t>
        </is>
      </c>
      <c r="H7" t="n">
        <v>225</v>
      </c>
      <c r="J7" t="inlineStr">
        <is>
          <t>S4</t>
        </is>
      </c>
      <c r="K7" t="n">
        <v>150</v>
      </c>
      <c r="L7" t="n">
        <v>0</v>
      </c>
      <c r="N7" t="n">
        <v>5</v>
      </c>
      <c r="O7" t="n">
        <v>42</v>
      </c>
      <c r="Q7" t="n">
        <v>4</v>
      </c>
      <c r="R7" t="n">
        <v>0.44</v>
      </c>
    </row>
    <row r="8">
      <c r="A8" t="n">
        <v>3</v>
      </c>
      <c r="B8" t="inlineStr">
        <is>
          <t>T5</t>
        </is>
      </c>
      <c r="D8" t="n">
        <v>15</v>
      </c>
      <c r="E8" t="inlineStr">
        <is>
          <t>S5</t>
        </is>
      </c>
      <c r="G8" t="inlineStr">
        <is>
          <t>T5</t>
        </is>
      </c>
      <c r="H8" t="n">
        <v>275</v>
      </c>
      <c r="J8" t="inlineStr">
        <is>
          <t>S5</t>
        </is>
      </c>
      <c r="K8" t="n">
        <v>100</v>
      </c>
      <c r="L8" t="n">
        <v>0</v>
      </c>
      <c r="N8" t="n">
        <v>7</v>
      </c>
      <c r="O8" t="n">
        <v>48</v>
      </c>
      <c r="Q8" t="n">
        <v>5</v>
      </c>
      <c r="R8" t="n">
        <v>0.72</v>
      </c>
    </row>
    <row r="9">
      <c r="A9" t="n">
        <v>6</v>
      </c>
      <c r="B9" t="inlineStr">
        <is>
          <t>T6</t>
        </is>
      </c>
      <c r="D9" t="n">
        <v>30</v>
      </c>
      <c r="E9" t="inlineStr">
        <is>
          <t>S6</t>
        </is>
      </c>
      <c r="G9" t="inlineStr">
        <is>
          <t>T6</t>
        </is>
      </c>
      <c r="H9" t="n">
        <v>300</v>
      </c>
      <c r="J9" t="inlineStr">
        <is>
          <t>S6</t>
        </is>
      </c>
      <c r="K9" t="n">
        <v>0</v>
      </c>
      <c r="L9" t="n">
        <v>0</v>
      </c>
      <c r="N9" t="n">
        <v>10</v>
      </c>
      <c r="O9" t="n">
        <v>55</v>
      </c>
      <c r="Q9" t="n">
        <v>6</v>
      </c>
      <c r="R9" t="n">
        <v>0.92</v>
      </c>
    </row>
    <row r="10">
      <c r="A10" t="n">
        <v>10</v>
      </c>
      <c r="B10" t="inlineStr">
        <is>
          <t>T7</t>
        </is>
      </c>
      <c r="G10" t="inlineStr">
        <is>
          <t>T7</t>
        </is>
      </c>
      <c r="H10" t="n">
        <v>300</v>
      </c>
      <c r="N10" t="n">
        <v>15</v>
      </c>
      <c r="O10" t="n">
        <v>62</v>
      </c>
      <c r="Q10" t="n">
        <v>7</v>
      </c>
      <c r="R10" t="n">
        <v>1.03</v>
      </c>
    </row>
    <row r="11">
      <c r="A11" t="n">
        <v>17</v>
      </c>
      <c r="B11" t="inlineStr">
        <is>
          <t>T8</t>
        </is>
      </c>
      <c r="G11" t="inlineStr">
        <is>
          <t>T8</t>
        </is>
      </c>
      <c r="H11" t="n">
        <v>300</v>
      </c>
      <c r="N11" t="n">
        <v>20</v>
      </c>
      <c r="O11" t="n">
        <v>69</v>
      </c>
      <c r="Q11" t="n">
        <v>8</v>
      </c>
      <c r="R11" t="n">
        <v>1.075</v>
      </c>
    </row>
    <row r="12">
      <c r="N12" t="n">
        <v>50</v>
      </c>
      <c r="O12" t="n">
        <v>140</v>
      </c>
      <c r="Q12" t="n">
        <v>9</v>
      </c>
      <c r="R12" t="n">
        <v>1.08</v>
      </c>
    </row>
    <row r="13">
      <c r="N13" t="n">
        <v>100</v>
      </c>
      <c r="O13" t="n">
        <v>220</v>
      </c>
      <c r="Q13" t="n">
        <v>10</v>
      </c>
      <c r="R13" t="n">
        <v>1.075</v>
      </c>
    </row>
    <row r="14">
      <c r="Q14" t="n">
        <v>11</v>
      </c>
      <c r="R14" t="n">
        <v>1.05</v>
      </c>
    </row>
    <row r="15">
      <c r="Q15" t="n">
        <v>12</v>
      </c>
      <c r="R15" t="n">
        <v>1</v>
      </c>
    </row>
    <row r="20">
      <c r="T20" t="inlineStr">
        <is>
          <t>SN</t>
        </is>
      </c>
      <c r="U20" t="inlineStr">
        <is>
          <t>predLogW18 (flex)</t>
        </is>
      </c>
      <c r="W20" t="inlineStr">
        <is>
          <t>D_in</t>
        </is>
      </c>
      <c r="X20" t="inlineStr">
        <is>
          <t>predLogW18 (rigid)</t>
        </is>
      </c>
    </row>
    <row r="21">
      <c r="T21" t="n">
        <v>1</v>
      </c>
      <c r="U21">
        <f>ZR_flex*S0_flex+9.36*LOG10(T21+1)-0.20+LOG10(dPSI_flex/2.7)/(0.40+1094/(T21+1)^5.19)+2.32*LOG10(MR_psi)-8.07</f>
        <v/>
      </c>
      <c r="W21" t="n">
        <v>4</v>
      </c>
      <c r="X21">
        <f>ZR_rig*S0_rig+7.35*LOG10(W21+1)-0.06+LOG10(dPSI_rig/3.0)/(1+1.624E7/(W21+1)^8.46)+(4.22-0.32*pt_rig)*LOG10((Sc_psi*Cd_rig*(W21^0.75-1.132))/(215.63*J_rig*(W21^0.75-18.42/(Ec_psi/k_pci)^0.25)))</f>
        <v/>
      </c>
    </row>
    <row r="22">
      <c r="T22" t="n">
        <v>1.05</v>
      </c>
      <c r="U22">
        <f>ZR_flex*S0_flex+9.36*LOG10(T22+1)-0.20+LOG10(dPSI_flex/2.7)/(0.40+1094/(T22+1)^5.19)+2.32*LOG10(MR_psi)-8.07</f>
        <v/>
      </c>
      <c r="W22" t="n">
        <v>4.1</v>
      </c>
      <c r="X22">
        <f>ZR_rig*S0_rig+7.35*LOG10(W22+1)-0.06+LOG10(dPSI_rig/3.0)/(1+1.624E7/(W22+1)^8.46)+(4.22-0.32*pt_rig)*LOG10((Sc_psi*Cd_rig*(W22^0.75-1.132))/(215.63*J_rig*(W22^0.75-18.42/(Ec_psi/k_pci)^0.25)))</f>
        <v/>
      </c>
    </row>
    <row r="23">
      <c r="T23" t="n">
        <v>1.1</v>
      </c>
      <c r="U23">
        <f>ZR_flex*S0_flex+9.36*LOG10(T23+1)-0.20+LOG10(dPSI_flex/2.7)/(0.40+1094/(T23+1)^5.19)+2.32*LOG10(MR_psi)-8.07</f>
        <v/>
      </c>
      <c r="W23" t="n">
        <v>4.2</v>
      </c>
      <c r="X23">
        <f>ZR_rig*S0_rig+7.35*LOG10(W23+1)-0.06+LOG10(dPSI_rig/3.0)/(1+1.624E7/(W23+1)^8.46)+(4.22-0.32*pt_rig)*LOG10((Sc_psi*Cd_rig*(W23^0.75-1.132))/(215.63*J_rig*(W23^0.75-18.42/(Ec_psi/k_pci)^0.25)))</f>
        <v/>
      </c>
    </row>
    <row r="24">
      <c r="T24" t="n">
        <v>1.15</v>
      </c>
      <c r="U24">
        <f>ZR_flex*S0_flex+9.36*LOG10(T24+1)-0.20+LOG10(dPSI_flex/2.7)/(0.40+1094/(T24+1)^5.19)+2.32*LOG10(MR_psi)-8.07</f>
        <v/>
      </c>
      <c r="W24" t="n">
        <v>4.3</v>
      </c>
      <c r="X24">
        <f>ZR_rig*S0_rig+7.35*LOG10(W24+1)-0.06+LOG10(dPSI_rig/3.0)/(1+1.624E7/(W24+1)^8.46)+(4.22-0.32*pt_rig)*LOG10((Sc_psi*Cd_rig*(W24^0.75-1.132))/(215.63*J_rig*(W24^0.75-18.42/(Ec_psi/k_pci)^0.25)))</f>
        <v/>
      </c>
    </row>
    <row r="25">
      <c r="T25" t="n">
        <v>1.2</v>
      </c>
      <c r="U25">
        <f>ZR_flex*S0_flex+9.36*LOG10(T25+1)-0.20+LOG10(dPSI_flex/2.7)/(0.40+1094/(T25+1)^5.19)+2.32*LOG10(MR_psi)-8.07</f>
        <v/>
      </c>
      <c r="W25" t="n">
        <v>4.4</v>
      </c>
      <c r="X25">
        <f>ZR_rig*S0_rig+7.35*LOG10(W25+1)-0.06+LOG10(dPSI_rig/3.0)/(1+1.624E7/(W25+1)^8.46)+(4.22-0.32*pt_rig)*LOG10((Sc_psi*Cd_rig*(W25^0.75-1.132))/(215.63*J_rig*(W25^0.75-18.42/(Ec_psi/k_pci)^0.25)))</f>
        <v/>
      </c>
    </row>
    <row r="26">
      <c r="T26" t="n">
        <v>1.25</v>
      </c>
      <c r="U26">
        <f>ZR_flex*S0_flex+9.36*LOG10(T26+1)-0.20+LOG10(dPSI_flex/2.7)/(0.40+1094/(T26+1)^5.19)+2.32*LOG10(MR_psi)-8.07</f>
        <v/>
      </c>
      <c r="W26" t="n">
        <v>4.5</v>
      </c>
      <c r="X26">
        <f>ZR_rig*S0_rig+7.35*LOG10(W26+1)-0.06+LOG10(dPSI_rig/3.0)/(1+1.624E7/(W26+1)^8.46)+(4.22-0.32*pt_rig)*LOG10((Sc_psi*Cd_rig*(W26^0.75-1.132))/(215.63*J_rig*(W26^0.75-18.42/(Ec_psi/k_pci)^0.25)))</f>
        <v/>
      </c>
    </row>
    <row r="27">
      <c r="T27" t="n">
        <v>1.3</v>
      </c>
      <c r="U27">
        <f>ZR_flex*S0_flex+9.36*LOG10(T27+1)-0.20+LOG10(dPSI_flex/2.7)/(0.40+1094/(T27+1)^5.19)+2.32*LOG10(MR_psi)-8.07</f>
        <v/>
      </c>
      <c r="W27" t="n">
        <v>4.6</v>
      </c>
      <c r="X27">
        <f>ZR_rig*S0_rig+7.35*LOG10(W27+1)-0.06+LOG10(dPSI_rig/3.0)/(1+1.624E7/(W27+1)^8.46)+(4.22-0.32*pt_rig)*LOG10((Sc_psi*Cd_rig*(W27^0.75-1.132))/(215.63*J_rig*(W27^0.75-18.42/(Ec_psi/k_pci)^0.25)))</f>
        <v/>
      </c>
    </row>
    <row r="28">
      <c r="T28" t="n">
        <v>1.35</v>
      </c>
      <c r="U28">
        <f>ZR_flex*S0_flex+9.36*LOG10(T28+1)-0.20+LOG10(dPSI_flex/2.7)/(0.40+1094/(T28+1)^5.19)+2.32*LOG10(MR_psi)-8.07</f>
        <v/>
      </c>
      <c r="W28" t="n">
        <v>4.7</v>
      </c>
      <c r="X28">
        <f>ZR_rig*S0_rig+7.35*LOG10(W28+1)-0.06+LOG10(dPSI_rig/3.0)/(1+1.624E7/(W28+1)^8.46)+(4.22-0.32*pt_rig)*LOG10((Sc_psi*Cd_rig*(W28^0.75-1.132))/(215.63*J_rig*(W28^0.75-18.42/(Ec_psi/k_pci)^0.25)))</f>
        <v/>
      </c>
    </row>
    <row r="29">
      <c r="T29" t="n">
        <v>1.4</v>
      </c>
      <c r="U29">
        <f>ZR_flex*S0_flex+9.36*LOG10(T29+1)-0.20+LOG10(dPSI_flex/2.7)/(0.40+1094/(T29+1)^5.19)+2.32*LOG10(MR_psi)-8.07</f>
        <v/>
      </c>
      <c r="W29" t="n">
        <v>4.8</v>
      </c>
      <c r="X29">
        <f>ZR_rig*S0_rig+7.35*LOG10(W29+1)-0.06+LOG10(dPSI_rig/3.0)/(1+1.624E7/(W29+1)^8.46)+(4.22-0.32*pt_rig)*LOG10((Sc_psi*Cd_rig*(W29^0.75-1.132))/(215.63*J_rig*(W29^0.75-18.42/(Ec_psi/k_pci)^0.25)))</f>
        <v/>
      </c>
    </row>
    <row r="30">
      <c r="T30" t="n">
        <v>1.45</v>
      </c>
      <c r="U30">
        <f>ZR_flex*S0_flex+9.36*LOG10(T30+1)-0.20+LOG10(dPSI_flex/2.7)/(0.40+1094/(T30+1)^5.19)+2.32*LOG10(MR_psi)-8.07</f>
        <v/>
      </c>
      <c r="W30" t="n">
        <v>4.9</v>
      </c>
      <c r="X30">
        <f>ZR_rig*S0_rig+7.35*LOG10(W30+1)-0.06+LOG10(dPSI_rig/3.0)/(1+1.624E7/(W30+1)^8.46)+(4.22-0.32*pt_rig)*LOG10((Sc_psi*Cd_rig*(W30^0.75-1.132))/(215.63*J_rig*(W30^0.75-18.42/(Ec_psi/k_pci)^0.25)))</f>
        <v/>
      </c>
    </row>
    <row r="31">
      <c r="T31" t="n">
        <v>1.5</v>
      </c>
      <c r="U31">
        <f>ZR_flex*S0_flex+9.36*LOG10(T31+1)-0.20+LOG10(dPSI_flex/2.7)/(0.40+1094/(T31+1)^5.19)+2.32*LOG10(MR_psi)-8.07</f>
        <v/>
      </c>
      <c r="W31" t="n">
        <v>5</v>
      </c>
      <c r="X31">
        <f>ZR_rig*S0_rig+7.35*LOG10(W31+1)-0.06+LOG10(dPSI_rig/3.0)/(1+1.624E7/(W31+1)^8.46)+(4.22-0.32*pt_rig)*LOG10((Sc_psi*Cd_rig*(W31^0.75-1.132))/(215.63*J_rig*(W31^0.75-18.42/(Ec_psi/k_pci)^0.25)))</f>
        <v/>
      </c>
    </row>
    <row r="32">
      <c r="T32" t="n">
        <v>1.55</v>
      </c>
      <c r="U32">
        <f>ZR_flex*S0_flex+9.36*LOG10(T32+1)-0.20+LOG10(dPSI_flex/2.7)/(0.40+1094/(T32+1)^5.19)+2.32*LOG10(MR_psi)-8.07</f>
        <v/>
      </c>
      <c r="W32" t="n">
        <v>5.1</v>
      </c>
      <c r="X32">
        <f>ZR_rig*S0_rig+7.35*LOG10(W32+1)-0.06+LOG10(dPSI_rig/3.0)/(1+1.624E7/(W32+1)^8.46)+(4.22-0.32*pt_rig)*LOG10((Sc_psi*Cd_rig*(W32^0.75-1.132))/(215.63*J_rig*(W32^0.75-18.42/(Ec_psi/k_pci)^0.25)))</f>
        <v/>
      </c>
    </row>
    <row r="33">
      <c r="T33" t="n">
        <v>1.6</v>
      </c>
      <c r="U33">
        <f>ZR_flex*S0_flex+9.36*LOG10(T33+1)-0.20+LOG10(dPSI_flex/2.7)/(0.40+1094/(T33+1)^5.19)+2.32*LOG10(MR_psi)-8.07</f>
        <v/>
      </c>
      <c r="W33" t="n">
        <v>5.2</v>
      </c>
      <c r="X33">
        <f>ZR_rig*S0_rig+7.35*LOG10(W33+1)-0.06+LOG10(dPSI_rig/3.0)/(1+1.624E7/(W33+1)^8.46)+(4.22-0.32*pt_rig)*LOG10((Sc_psi*Cd_rig*(W33^0.75-1.132))/(215.63*J_rig*(W33^0.75-18.42/(Ec_psi/k_pci)^0.25)))</f>
        <v/>
      </c>
    </row>
    <row r="34">
      <c r="T34" t="n">
        <v>1.65</v>
      </c>
      <c r="U34">
        <f>ZR_flex*S0_flex+9.36*LOG10(T34+1)-0.20+LOG10(dPSI_flex/2.7)/(0.40+1094/(T34+1)^5.19)+2.32*LOG10(MR_psi)-8.07</f>
        <v/>
      </c>
      <c r="W34" t="n">
        <v>5.3</v>
      </c>
      <c r="X34">
        <f>ZR_rig*S0_rig+7.35*LOG10(W34+1)-0.06+LOG10(dPSI_rig/3.0)/(1+1.624E7/(W34+1)^8.46)+(4.22-0.32*pt_rig)*LOG10((Sc_psi*Cd_rig*(W34^0.75-1.132))/(215.63*J_rig*(W34^0.75-18.42/(Ec_psi/k_pci)^0.25)))</f>
        <v/>
      </c>
    </row>
    <row r="35">
      <c r="T35" t="n">
        <v>1.7</v>
      </c>
      <c r="U35">
        <f>ZR_flex*S0_flex+9.36*LOG10(T35+1)-0.20+LOG10(dPSI_flex/2.7)/(0.40+1094/(T35+1)^5.19)+2.32*LOG10(MR_psi)-8.07</f>
        <v/>
      </c>
      <c r="W35" t="n">
        <v>5.4</v>
      </c>
      <c r="X35">
        <f>ZR_rig*S0_rig+7.35*LOG10(W35+1)-0.06+LOG10(dPSI_rig/3.0)/(1+1.624E7/(W35+1)^8.46)+(4.22-0.32*pt_rig)*LOG10((Sc_psi*Cd_rig*(W35^0.75-1.132))/(215.63*J_rig*(W35^0.75-18.42/(Ec_psi/k_pci)^0.25)))</f>
        <v/>
      </c>
    </row>
    <row r="36">
      <c r="T36" t="n">
        <v>1.75</v>
      </c>
      <c r="U36">
        <f>ZR_flex*S0_flex+9.36*LOG10(T36+1)-0.20+LOG10(dPSI_flex/2.7)/(0.40+1094/(T36+1)^5.19)+2.32*LOG10(MR_psi)-8.07</f>
        <v/>
      </c>
      <c r="W36" t="n">
        <v>5.5</v>
      </c>
      <c r="X36">
        <f>ZR_rig*S0_rig+7.35*LOG10(W36+1)-0.06+LOG10(dPSI_rig/3.0)/(1+1.624E7/(W36+1)^8.46)+(4.22-0.32*pt_rig)*LOG10((Sc_psi*Cd_rig*(W36^0.75-1.132))/(215.63*J_rig*(W36^0.75-18.42/(Ec_psi/k_pci)^0.25)))</f>
        <v/>
      </c>
    </row>
    <row r="37">
      <c r="T37" t="n">
        <v>1.8</v>
      </c>
      <c r="U37">
        <f>ZR_flex*S0_flex+9.36*LOG10(T37+1)-0.20+LOG10(dPSI_flex/2.7)/(0.40+1094/(T37+1)^5.19)+2.32*LOG10(MR_psi)-8.07</f>
        <v/>
      </c>
      <c r="W37" t="n">
        <v>5.6</v>
      </c>
      <c r="X37">
        <f>ZR_rig*S0_rig+7.35*LOG10(W37+1)-0.06+LOG10(dPSI_rig/3.0)/(1+1.624E7/(W37+1)^8.46)+(4.22-0.32*pt_rig)*LOG10((Sc_psi*Cd_rig*(W37^0.75-1.132))/(215.63*J_rig*(W37^0.75-18.42/(Ec_psi/k_pci)^0.25)))</f>
        <v/>
      </c>
    </row>
    <row r="38">
      <c r="T38" t="n">
        <v>1.85</v>
      </c>
      <c r="U38">
        <f>ZR_flex*S0_flex+9.36*LOG10(T38+1)-0.20+LOG10(dPSI_flex/2.7)/(0.40+1094/(T38+1)^5.19)+2.32*LOG10(MR_psi)-8.07</f>
        <v/>
      </c>
      <c r="W38" t="n">
        <v>5.7</v>
      </c>
      <c r="X38">
        <f>ZR_rig*S0_rig+7.35*LOG10(W38+1)-0.06+LOG10(dPSI_rig/3.0)/(1+1.624E7/(W38+1)^8.46)+(4.22-0.32*pt_rig)*LOG10((Sc_psi*Cd_rig*(W38^0.75-1.132))/(215.63*J_rig*(W38^0.75-18.42/(Ec_psi/k_pci)^0.25)))</f>
        <v/>
      </c>
    </row>
    <row r="39">
      <c r="T39" t="n">
        <v>1.9</v>
      </c>
      <c r="U39">
        <f>ZR_flex*S0_flex+9.36*LOG10(T39+1)-0.20+LOG10(dPSI_flex/2.7)/(0.40+1094/(T39+1)^5.19)+2.32*LOG10(MR_psi)-8.07</f>
        <v/>
      </c>
      <c r="W39" t="n">
        <v>5.8</v>
      </c>
      <c r="X39">
        <f>ZR_rig*S0_rig+7.35*LOG10(W39+1)-0.06+LOG10(dPSI_rig/3.0)/(1+1.624E7/(W39+1)^8.46)+(4.22-0.32*pt_rig)*LOG10((Sc_psi*Cd_rig*(W39^0.75-1.132))/(215.63*J_rig*(W39^0.75-18.42/(Ec_psi/k_pci)^0.25)))</f>
        <v/>
      </c>
    </row>
    <row r="40">
      <c r="T40" t="n">
        <v>1.95</v>
      </c>
      <c r="U40">
        <f>ZR_flex*S0_flex+9.36*LOG10(T40+1)-0.20+LOG10(dPSI_flex/2.7)/(0.40+1094/(T40+1)^5.19)+2.32*LOG10(MR_psi)-8.07</f>
        <v/>
      </c>
      <c r="W40" t="n">
        <v>5.9</v>
      </c>
      <c r="X40">
        <f>ZR_rig*S0_rig+7.35*LOG10(W40+1)-0.06+LOG10(dPSI_rig/3.0)/(1+1.624E7/(W40+1)^8.46)+(4.22-0.32*pt_rig)*LOG10((Sc_psi*Cd_rig*(W40^0.75-1.132))/(215.63*J_rig*(W40^0.75-18.42/(Ec_psi/k_pci)^0.25)))</f>
        <v/>
      </c>
    </row>
    <row r="41">
      <c r="T41" t="n">
        <v>2</v>
      </c>
      <c r="U41">
        <f>ZR_flex*S0_flex+9.36*LOG10(T41+1)-0.20+LOG10(dPSI_flex/2.7)/(0.40+1094/(T41+1)^5.19)+2.32*LOG10(MR_psi)-8.07</f>
        <v/>
      </c>
      <c r="W41" t="n">
        <v>6</v>
      </c>
      <c r="X41">
        <f>ZR_rig*S0_rig+7.35*LOG10(W41+1)-0.06+LOG10(dPSI_rig/3.0)/(1+1.624E7/(W41+1)^8.46)+(4.22-0.32*pt_rig)*LOG10((Sc_psi*Cd_rig*(W41^0.75-1.132))/(215.63*J_rig*(W41^0.75-18.42/(Ec_psi/k_pci)^0.25)))</f>
        <v/>
      </c>
    </row>
    <row r="42">
      <c r="T42" t="n">
        <v>2.05</v>
      </c>
      <c r="U42">
        <f>ZR_flex*S0_flex+9.36*LOG10(T42+1)-0.20+LOG10(dPSI_flex/2.7)/(0.40+1094/(T42+1)^5.19)+2.32*LOG10(MR_psi)-8.07</f>
        <v/>
      </c>
      <c r="W42" t="n">
        <v>6.1</v>
      </c>
      <c r="X42">
        <f>ZR_rig*S0_rig+7.35*LOG10(W42+1)-0.06+LOG10(dPSI_rig/3.0)/(1+1.624E7/(W42+1)^8.46)+(4.22-0.32*pt_rig)*LOG10((Sc_psi*Cd_rig*(W42^0.75-1.132))/(215.63*J_rig*(W42^0.75-18.42/(Ec_psi/k_pci)^0.25)))</f>
        <v/>
      </c>
    </row>
    <row r="43">
      <c r="T43" t="n">
        <v>2.1</v>
      </c>
      <c r="U43">
        <f>ZR_flex*S0_flex+9.36*LOG10(T43+1)-0.20+LOG10(dPSI_flex/2.7)/(0.40+1094/(T43+1)^5.19)+2.32*LOG10(MR_psi)-8.07</f>
        <v/>
      </c>
      <c r="W43" t="n">
        <v>6.2</v>
      </c>
      <c r="X43">
        <f>ZR_rig*S0_rig+7.35*LOG10(W43+1)-0.06+LOG10(dPSI_rig/3.0)/(1+1.624E7/(W43+1)^8.46)+(4.22-0.32*pt_rig)*LOG10((Sc_psi*Cd_rig*(W43^0.75-1.132))/(215.63*J_rig*(W43^0.75-18.42/(Ec_psi/k_pci)^0.25)))</f>
        <v/>
      </c>
    </row>
    <row r="44">
      <c r="T44" t="n">
        <v>2.15</v>
      </c>
      <c r="U44">
        <f>ZR_flex*S0_flex+9.36*LOG10(T44+1)-0.20+LOG10(dPSI_flex/2.7)/(0.40+1094/(T44+1)^5.19)+2.32*LOG10(MR_psi)-8.07</f>
        <v/>
      </c>
      <c r="W44" t="n">
        <v>6.3</v>
      </c>
      <c r="X44">
        <f>ZR_rig*S0_rig+7.35*LOG10(W44+1)-0.06+LOG10(dPSI_rig/3.0)/(1+1.624E7/(W44+1)^8.46)+(4.22-0.32*pt_rig)*LOG10((Sc_psi*Cd_rig*(W44^0.75-1.132))/(215.63*J_rig*(W44^0.75-18.42/(Ec_psi/k_pci)^0.25)))</f>
        <v/>
      </c>
    </row>
    <row r="45">
      <c r="T45" t="n">
        <v>2.2</v>
      </c>
      <c r="U45">
        <f>ZR_flex*S0_flex+9.36*LOG10(T45+1)-0.20+LOG10(dPSI_flex/2.7)/(0.40+1094/(T45+1)^5.19)+2.32*LOG10(MR_psi)-8.07</f>
        <v/>
      </c>
      <c r="W45" t="n">
        <v>6.4</v>
      </c>
      <c r="X45">
        <f>ZR_rig*S0_rig+7.35*LOG10(W45+1)-0.06+LOG10(dPSI_rig/3.0)/(1+1.624E7/(W45+1)^8.46)+(4.22-0.32*pt_rig)*LOG10((Sc_psi*Cd_rig*(W45^0.75-1.132))/(215.63*J_rig*(W45^0.75-18.42/(Ec_psi/k_pci)^0.25)))</f>
        <v/>
      </c>
    </row>
    <row r="46">
      <c r="T46" t="n">
        <v>2.25</v>
      </c>
      <c r="U46">
        <f>ZR_flex*S0_flex+9.36*LOG10(T46+1)-0.20+LOG10(dPSI_flex/2.7)/(0.40+1094/(T46+1)^5.19)+2.32*LOG10(MR_psi)-8.07</f>
        <v/>
      </c>
      <c r="W46" t="n">
        <v>6.5</v>
      </c>
      <c r="X46">
        <f>ZR_rig*S0_rig+7.35*LOG10(W46+1)-0.06+LOG10(dPSI_rig/3.0)/(1+1.624E7/(W46+1)^8.46)+(4.22-0.32*pt_rig)*LOG10((Sc_psi*Cd_rig*(W46^0.75-1.132))/(215.63*J_rig*(W46^0.75-18.42/(Ec_psi/k_pci)^0.25)))</f>
        <v/>
      </c>
    </row>
    <row r="47">
      <c r="T47" t="n">
        <v>2.3</v>
      </c>
      <c r="U47">
        <f>ZR_flex*S0_flex+9.36*LOG10(T47+1)-0.20+LOG10(dPSI_flex/2.7)/(0.40+1094/(T47+1)^5.19)+2.32*LOG10(MR_psi)-8.07</f>
        <v/>
      </c>
      <c r="W47" t="n">
        <v>6.6</v>
      </c>
      <c r="X47">
        <f>ZR_rig*S0_rig+7.35*LOG10(W47+1)-0.06+LOG10(dPSI_rig/3.0)/(1+1.624E7/(W47+1)^8.46)+(4.22-0.32*pt_rig)*LOG10((Sc_psi*Cd_rig*(W47^0.75-1.132))/(215.63*J_rig*(W47^0.75-18.42/(Ec_psi/k_pci)^0.25)))</f>
        <v/>
      </c>
    </row>
    <row r="48">
      <c r="T48" t="n">
        <v>2.35</v>
      </c>
      <c r="U48">
        <f>ZR_flex*S0_flex+9.36*LOG10(T48+1)-0.20+LOG10(dPSI_flex/2.7)/(0.40+1094/(T48+1)^5.19)+2.32*LOG10(MR_psi)-8.07</f>
        <v/>
      </c>
      <c r="W48" t="n">
        <v>6.7</v>
      </c>
      <c r="X48">
        <f>ZR_rig*S0_rig+7.35*LOG10(W48+1)-0.06+LOG10(dPSI_rig/3.0)/(1+1.624E7/(W48+1)^8.46)+(4.22-0.32*pt_rig)*LOG10((Sc_psi*Cd_rig*(W48^0.75-1.132))/(215.63*J_rig*(W48^0.75-18.42/(Ec_psi/k_pci)^0.25)))</f>
        <v/>
      </c>
    </row>
    <row r="49">
      <c r="T49" t="n">
        <v>2.4</v>
      </c>
      <c r="U49">
        <f>ZR_flex*S0_flex+9.36*LOG10(T49+1)-0.20+LOG10(dPSI_flex/2.7)/(0.40+1094/(T49+1)^5.19)+2.32*LOG10(MR_psi)-8.07</f>
        <v/>
      </c>
      <c r="W49" t="n">
        <v>6.8</v>
      </c>
      <c r="X49">
        <f>ZR_rig*S0_rig+7.35*LOG10(W49+1)-0.06+LOG10(dPSI_rig/3.0)/(1+1.624E7/(W49+1)^8.46)+(4.22-0.32*pt_rig)*LOG10((Sc_psi*Cd_rig*(W49^0.75-1.132))/(215.63*J_rig*(W49^0.75-18.42/(Ec_psi/k_pci)^0.25)))</f>
        <v/>
      </c>
    </row>
    <row r="50">
      <c r="T50" t="n">
        <v>2.45</v>
      </c>
      <c r="U50">
        <f>ZR_flex*S0_flex+9.36*LOG10(T50+1)-0.20+LOG10(dPSI_flex/2.7)/(0.40+1094/(T50+1)^5.19)+2.32*LOG10(MR_psi)-8.07</f>
        <v/>
      </c>
      <c r="W50" t="n">
        <v>6.9</v>
      </c>
      <c r="X50">
        <f>ZR_rig*S0_rig+7.35*LOG10(W50+1)-0.06+LOG10(dPSI_rig/3.0)/(1+1.624E7/(W50+1)^8.46)+(4.22-0.32*pt_rig)*LOG10((Sc_psi*Cd_rig*(W50^0.75-1.132))/(215.63*J_rig*(W50^0.75-18.42/(Ec_psi/k_pci)^0.25)))</f>
        <v/>
      </c>
    </row>
    <row r="51">
      <c r="T51" t="n">
        <v>2.5</v>
      </c>
      <c r="U51">
        <f>ZR_flex*S0_flex+9.36*LOG10(T51+1)-0.20+LOG10(dPSI_flex/2.7)/(0.40+1094/(T51+1)^5.19)+2.32*LOG10(MR_psi)-8.07</f>
        <v/>
      </c>
      <c r="W51" t="n">
        <v>7</v>
      </c>
      <c r="X51">
        <f>ZR_rig*S0_rig+7.35*LOG10(W51+1)-0.06+LOG10(dPSI_rig/3.0)/(1+1.624E7/(W51+1)^8.46)+(4.22-0.32*pt_rig)*LOG10((Sc_psi*Cd_rig*(W51^0.75-1.132))/(215.63*J_rig*(W51^0.75-18.42/(Ec_psi/k_pci)^0.25)))</f>
        <v/>
      </c>
    </row>
    <row r="52">
      <c r="T52" t="n">
        <v>2.55</v>
      </c>
      <c r="U52">
        <f>ZR_flex*S0_flex+9.36*LOG10(T52+1)-0.20+LOG10(dPSI_flex/2.7)/(0.40+1094/(T52+1)^5.19)+2.32*LOG10(MR_psi)-8.07</f>
        <v/>
      </c>
      <c r="W52" t="n">
        <v>7.1</v>
      </c>
      <c r="X52">
        <f>ZR_rig*S0_rig+7.35*LOG10(W52+1)-0.06+LOG10(dPSI_rig/3.0)/(1+1.624E7/(W52+1)^8.46)+(4.22-0.32*pt_rig)*LOG10((Sc_psi*Cd_rig*(W52^0.75-1.132))/(215.63*J_rig*(W52^0.75-18.42/(Ec_psi/k_pci)^0.25)))</f>
        <v/>
      </c>
    </row>
    <row r="53">
      <c r="T53" t="n">
        <v>2.6</v>
      </c>
      <c r="U53">
        <f>ZR_flex*S0_flex+9.36*LOG10(T53+1)-0.20+LOG10(dPSI_flex/2.7)/(0.40+1094/(T53+1)^5.19)+2.32*LOG10(MR_psi)-8.07</f>
        <v/>
      </c>
      <c r="W53" t="n">
        <v>7.2</v>
      </c>
      <c r="X53">
        <f>ZR_rig*S0_rig+7.35*LOG10(W53+1)-0.06+LOG10(dPSI_rig/3.0)/(1+1.624E7/(W53+1)^8.46)+(4.22-0.32*pt_rig)*LOG10((Sc_psi*Cd_rig*(W53^0.75-1.132))/(215.63*J_rig*(W53^0.75-18.42/(Ec_psi/k_pci)^0.25)))</f>
        <v/>
      </c>
    </row>
    <row r="54">
      <c r="T54" t="n">
        <v>2.65</v>
      </c>
      <c r="U54">
        <f>ZR_flex*S0_flex+9.36*LOG10(T54+1)-0.20+LOG10(dPSI_flex/2.7)/(0.40+1094/(T54+1)^5.19)+2.32*LOG10(MR_psi)-8.07</f>
        <v/>
      </c>
      <c r="W54" t="n">
        <v>7.3</v>
      </c>
      <c r="X54">
        <f>ZR_rig*S0_rig+7.35*LOG10(W54+1)-0.06+LOG10(dPSI_rig/3.0)/(1+1.624E7/(W54+1)^8.46)+(4.22-0.32*pt_rig)*LOG10((Sc_psi*Cd_rig*(W54^0.75-1.132))/(215.63*J_rig*(W54^0.75-18.42/(Ec_psi/k_pci)^0.25)))</f>
        <v/>
      </c>
    </row>
    <row r="55">
      <c r="T55" t="n">
        <v>2.7</v>
      </c>
      <c r="U55">
        <f>ZR_flex*S0_flex+9.36*LOG10(T55+1)-0.20+LOG10(dPSI_flex/2.7)/(0.40+1094/(T55+1)^5.19)+2.32*LOG10(MR_psi)-8.07</f>
        <v/>
      </c>
      <c r="W55" t="n">
        <v>7.4</v>
      </c>
      <c r="X55">
        <f>ZR_rig*S0_rig+7.35*LOG10(W55+1)-0.06+LOG10(dPSI_rig/3.0)/(1+1.624E7/(W55+1)^8.46)+(4.22-0.32*pt_rig)*LOG10((Sc_psi*Cd_rig*(W55^0.75-1.132))/(215.63*J_rig*(W55^0.75-18.42/(Ec_psi/k_pci)^0.25)))</f>
        <v/>
      </c>
    </row>
    <row r="56">
      <c r="T56" t="n">
        <v>2.75</v>
      </c>
      <c r="U56">
        <f>ZR_flex*S0_flex+9.36*LOG10(T56+1)-0.20+LOG10(dPSI_flex/2.7)/(0.40+1094/(T56+1)^5.19)+2.32*LOG10(MR_psi)-8.07</f>
        <v/>
      </c>
      <c r="W56" t="n">
        <v>7.5</v>
      </c>
      <c r="X56">
        <f>ZR_rig*S0_rig+7.35*LOG10(W56+1)-0.06+LOG10(dPSI_rig/3.0)/(1+1.624E7/(W56+1)^8.46)+(4.22-0.32*pt_rig)*LOG10((Sc_psi*Cd_rig*(W56^0.75-1.132))/(215.63*J_rig*(W56^0.75-18.42/(Ec_psi/k_pci)^0.25)))</f>
        <v/>
      </c>
    </row>
    <row r="57">
      <c r="T57" t="n">
        <v>2.8</v>
      </c>
      <c r="U57">
        <f>ZR_flex*S0_flex+9.36*LOG10(T57+1)-0.20+LOG10(dPSI_flex/2.7)/(0.40+1094/(T57+1)^5.19)+2.32*LOG10(MR_psi)-8.07</f>
        <v/>
      </c>
      <c r="W57" t="n">
        <v>7.6</v>
      </c>
      <c r="X57">
        <f>ZR_rig*S0_rig+7.35*LOG10(W57+1)-0.06+LOG10(dPSI_rig/3.0)/(1+1.624E7/(W57+1)^8.46)+(4.22-0.32*pt_rig)*LOG10((Sc_psi*Cd_rig*(W57^0.75-1.132))/(215.63*J_rig*(W57^0.75-18.42/(Ec_psi/k_pci)^0.25)))</f>
        <v/>
      </c>
    </row>
    <row r="58">
      <c r="T58" t="n">
        <v>2.85</v>
      </c>
      <c r="U58">
        <f>ZR_flex*S0_flex+9.36*LOG10(T58+1)-0.20+LOG10(dPSI_flex/2.7)/(0.40+1094/(T58+1)^5.19)+2.32*LOG10(MR_psi)-8.07</f>
        <v/>
      </c>
      <c r="W58" t="n">
        <v>7.7</v>
      </c>
      <c r="X58">
        <f>ZR_rig*S0_rig+7.35*LOG10(W58+1)-0.06+LOG10(dPSI_rig/3.0)/(1+1.624E7/(W58+1)^8.46)+(4.22-0.32*pt_rig)*LOG10((Sc_psi*Cd_rig*(W58^0.75-1.132))/(215.63*J_rig*(W58^0.75-18.42/(Ec_psi/k_pci)^0.25)))</f>
        <v/>
      </c>
    </row>
    <row r="59">
      <c r="T59" t="n">
        <v>2.9</v>
      </c>
      <c r="U59">
        <f>ZR_flex*S0_flex+9.36*LOG10(T59+1)-0.20+LOG10(dPSI_flex/2.7)/(0.40+1094/(T59+1)^5.19)+2.32*LOG10(MR_psi)-8.07</f>
        <v/>
      </c>
      <c r="W59" t="n">
        <v>7.8</v>
      </c>
      <c r="X59">
        <f>ZR_rig*S0_rig+7.35*LOG10(W59+1)-0.06+LOG10(dPSI_rig/3.0)/(1+1.624E7/(W59+1)^8.46)+(4.22-0.32*pt_rig)*LOG10((Sc_psi*Cd_rig*(W59^0.75-1.132))/(215.63*J_rig*(W59^0.75-18.42/(Ec_psi/k_pci)^0.25)))</f>
        <v/>
      </c>
    </row>
    <row r="60">
      <c r="T60" t="n">
        <v>2.95</v>
      </c>
      <c r="U60">
        <f>ZR_flex*S0_flex+9.36*LOG10(T60+1)-0.20+LOG10(dPSI_flex/2.7)/(0.40+1094/(T60+1)^5.19)+2.32*LOG10(MR_psi)-8.07</f>
        <v/>
      </c>
      <c r="W60" t="n">
        <v>7.9</v>
      </c>
      <c r="X60">
        <f>ZR_rig*S0_rig+7.35*LOG10(W60+1)-0.06+LOG10(dPSI_rig/3.0)/(1+1.624E7/(W60+1)^8.46)+(4.22-0.32*pt_rig)*LOG10((Sc_psi*Cd_rig*(W60^0.75-1.132))/(215.63*J_rig*(W60^0.75-18.42/(Ec_psi/k_pci)^0.25)))</f>
        <v/>
      </c>
    </row>
    <row r="61">
      <c r="T61" t="n">
        <v>3</v>
      </c>
      <c r="U61">
        <f>ZR_flex*S0_flex+9.36*LOG10(T61+1)-0.20+LOG10(dPSI_flex/2.7)/(0.40+1094/(T61+1)^5.19)+2.32*LOG10(MR_psi)-8.07</f>
        <v/>
      </c>
      <c r="W61" t="n">
        <v>8</v>
      </c>
      <c r="X61">
        <f>ZR_rig*S0_rig+7.35*LOG10(W61+1)-0.06+LOG10(dPSI_rig/3.0)/(1+1.624E7/(W61+1)^8.46)+(4.22-0.32*pt_rig)*LOG10((Sc_psi*Cd_rig*(W61^0.75-1.132))/(215.63*J_rig*(W61^0.75-18.42/(Ec_psi/k_pci)^0.25)))</f>
        <v/>
      </c>
    </row>
    <row r="62">
      <c r="T62" t="n">
        <v>3.05</v>
      </c>
      <c r="U62">
        <f>ZR_flex*S0_flex+9.36*LOG10(T62+1)-0.20+LOG10(dPSI_flex/2.7)/(0.40+1094/(T62+1)^5.19)+2.32*LOG10(MR_psi)-8.07</f>
        <v/>
      </c>
      <c r="W62" t="n">
        <v>8.1</v>
      </c>
      <c r="X62">
        <f>ZR_rig*S0_rig+7.35*LOG10(W62+1)-0.06+LOG10(dPSI_rig/3.0)/(1+1.624E7/(W62+1)^8.46)+(4.22-0.32*pt_rig)*LOG10((Sc_psi*Cd_rig*(W62^0.75-1.132))/(215.63*J_rig*(W62^0.75-18.42/(Ec_psi/k_pci)^0.25)))</f>
        <v/>
      </c>
    </row>
    <row r="63">
      <c r="T63" t="n">
        <v>3.1</v>
      </c>
      <c r="U63">
        <f>ZR_flex*S0_flex+9.36*LOG10(T63+1)-0.20+LOG10(dPSI_flex/2.7)/(0.40+1094/(T63+1)^5.19)+2.32*LOG10(MR_psi)-8.07</f>
        <v/>
      </c>
      <c r="W63" t="n">
        <v>8.199999999999999</v>
      </c>
      <c r="X63">
        <f>ZR_rig*S0_rig+7.35*LOG10(W63+1)-0.06+LOG10(dPSI_rig/3.0)/(1+1.624E7/(W63+1)^8.46)+(4.22-0.32*pt_rig)*LOG10((Sc_psi*Cd_rig*(W63^0.75-1.132))/(215.63*J_rig*(W63^0.75-18.42/(Ec_psi/k_pci)^0.25)))</f>
        <v/>
      </c>
    </row>
    <row r="64">
      <c r="T64" t="n">
        <v>3.15</v>
      </c>
      <c r="U64">
        <f>ZR_flex*S0_flex+9.36*LOG10(T64+1)-0.20+LOG10(dPSI_flex/2.7)/(0.40+1094/(T64+1)^5.19)+2.32*LOG10(MR_psi)-8.07</f>
        <v/>
      </c>
      <c r="W64" t="n">
        <v>8.300000000000001</v>
      </c>
      <c r="X64">
        <f>ZR_rig*S0_rig+7.35*LOG10(W64+1)-0.06+LOG10(dPSI_rig/3.0)/(1+1.624E7/(W64+1)^8.46)+(4.22-0.32*pt_rig)*LOG10((Sc_psi*Cd_rig*(W64^0.75-1.132))/(215.63*J_rig*(W64^0.75-18.42/(Ec_psi/k_pci)^0.25)))</f>
        <v/>
      </c>
    </row>
    <row r="65">
      <c r="T65" t="n">
        <v>3.2</v>
      </c>
      <c r="U65">
        <f>ZR_flex*S0_flex+9.36*LOG10(T65+1)-0.20+LOG10(dPSI_flex/2.7)/(0.40+1094/(T65+1)^5.19)+2.32*LOG10(MR_psi)-8.07</f>
        <v/>
      </c>
      <c r="W65" t="n">
        <v>8.4</v>
      </c>
      <c r="X65">
        <f>ZR_rig*S0_rig+7.35*LOG10(W65+1)-0.06+LOG10(dPSI_rig/3.0)/(1+1.624E7/(W65+1)^8.46)+(4.22-0.32*pt_rig)*LOG10((Sc_psi*Cd_rig*(W65^0.75-1.132))/(215.63*J_rig*(W65^0.75-18.42/(Ec_psi/k_pci)^0.25)))</f>
        <v/>
      </c>
    </row>
    <row r="66">
      <c r="T66" t="n">
        <v>3.25</v>
      </c>
      <c r="U66">
        <f>ZR_flex*S0_flex+9.36*LOG10(T66+1)-0.20+LOG10(dPSI_flex/2.7)/(0.40+1094/(T66+1)^5.19)+2.32*LOG10(MR_psi)-8.07</f>
        <v/>
      </c>
      <c r="W66" t="n">
        <v>8.5</v>
      </c>
      <c r="X66">
        <f>ZR_rig*S0_rig+7.35*LOG10(W66+1)-0.06+LOG10(dPSI_rig/3.0)/(1+1.624E7/(W66+1)^8.46)+(4.22-0.32*pt_rig)*LOG10((Sc_psi*Cd_rig*(W66^0.75-1.132))/(215.63*J_rig*(W66^0.75-18.42/(Ec_psi/k_pci)^0.25)))</f>
        <v/>
      </c>
    </row>
    <row r="67">
      <c r="T67" t="n">
        <v>3.3</v>
      </c>
      <c r="U67">
        <f>ZR_flex*S0_flex+9.36*LOG10(T67+1)-0.20+LOG10(dPSI_flex/2.7)/(0.40+1094/(T67+1)^5.19)+2.32*LOG10(MR_psi)-8.07</f>
        <v/>
      </c>
      <c r="W67" t="n">
        <v>8.6</v>
      </c>
      <c r="X67">
        <f>ZR_rig*S0_rig+7.35*LOG10(W67+1)-0.06+LOG10(dPSI_rig/3.0)/(1+1.624E7/(W67+1)^8.46)+(4.22-0.32*pt_rig)*LOG10((Sc_psi*Cd_rig*(W67^0.75-1.132))/(215.63*J_rig*(W67^0.75-18.42/(Ec_psi/k_pci)^0.25)))</f>
        <v/>
      </c>
    </row>
    <row r="68">
      <c r="T68" t="n">
        <v>3.35</v>
      </c>
      <c r="U68">
        <f>ZR_flex*S0_flex+9.36*LOG10(T68+1)-0.20+LOG10(dPSI_flex/2.7)/(0.40+1094/(T68+1)^5.19)+2.32*LOG10(MR_psi)-8.07</f>
        <v/>
      </c>
      <c r="W68" t="n">
        <v>8.699999999999999</v>
      </c>
      <c r="X68">
        <f>ZR_rig*S0_rig+7.35*LOG10(W68+1)-0.06+LOG10(dPSI_rig/3.0)/(1+1.624E7/(W68+1)^8.46)+(4.22-0.32*pt_rig)*LOG10((Sc_psi*Cd_rig*(W68^0.75-1.132))/(215.63*J_rig*(W68^0.75-18.42/(Ec_psi/k_pci)^0.25)))</f>
        <v/>
      </c>
    </row>
    <row r="69">
      <c r="T69" t="n">
        <v>3.4</v>
      </c>
      <c r="U69">
        <f>ZR_flex*S0_flex+9.36*LOG10(T69+1)-0.20+LOG10(dPSI_flex/2.7)/(0.40+1094/(T69+1)^5.19)+2.32*LOG10(MR_psi)-8.07</f>
        <v/>
      </c>
      <c r="W69" t="n">
        <v>8.800000000000001</v>
      </c>
      <c r="X69">
        <f>ZR_rig*S0_rig+7.35*LOG10(W69+1)-0.06+LOG10(dPSI_rig/3.0)/(1+1.624E7/(W69+1)^8.46)+(4.22-0.32*pt_rig)*LOG10((Sc_psi*Cd_rig*(W69^0.75-1.132))/(215.63*J_rig*(W69^0.75-18.42/(Ec_psi/k_pci)^0.25)))</f>
        <v/>
      </c>
    </row>
    <row r="70">
      <c r="T70" t="n">
        <v>3.45</v>
      </c>
      <c r="U70">
        <f>ZR_flex*S0_flex+9.36*LOG10(T70+1)-0.20+LOG10(dPSI_flex/2.7)/(0.40+1094/(T70+1)^5.19)+2.32*LOG10(MR_psi)-8.07</f>
        <v/>
      </c>
      <c r="W70" t="n">
        <v>8.9</v>
      </c>
      <c r="X70">
        <f>ZR_rig*S0_rig+7.35*LOG10(W70+1)-0.06+LOG10(dPSI_rig/3.0)/(1+1.624E7/(W70+1)^8.46)+(4.22-0.32*pt_rig)*LOG10((Sc_psi*Cd_rig*(W70^0.75-1.132))/(215.63*J_rig*(W70^0.75-18.42/(Ec_psi/k_pci)^0.25)))</f>
        <v/>
      </c>
    </row>
    <row r="71">
      <c r="T71" t="n">
        <v>3.5</v>
      </c>
      <c r="U71">
        <f>ZR_flex*S0_flex+9.36*LOG10(T71+1)-0.20+LOG10(dPSI_flex/2.7)/(0.40+1094/(T71+1)^5.19)+2.32*LOG10(MR_psi)-8.07</f>
        <v/>
      </c>
      <c r="W71" t="n">
        <v>9</v>
      </c>
      <c r="X71">
        <f>ZR_rig*S0_rig+7.35*LOG10(W71+1)-0.06+LOG10(dPSI_rig/3.0)/(1+1.624E7/(W71+1)^8.46)+(4.22-0.32*pt_rig)*LOG10((Sc_psi*Cd_rig*(W71^0.75-1.132))/(215.63*J_rig*(W71^0.75-18.42/(Ec_psi/k_pci)^0.25)))</f>
        <v/>
      </c>
    </row>
    <row r="72">
      <c r="T72" t="n">
        <v>3.55</v>
      </c>
      <c r="U72">
        <f>ZR_flex*S0_flex+9.36*LOG10(T72+1)-0.20+LOG10(dPSI_flex/2.7)/(0.40+1094/(T72+1)^5.19)+2.32*LOG10(MR_psi)-8.07</f>
        <v/>
      </c>
      <c r="W72" t="n">
        <v>9.1</v>
      </c>
      <c r="X72">
        <f>ZR_rig*S0_rig+7.35*LOG10(W72+1)-0.06+LOG10(dPSI_rig/3.0)/(1+1.624E7/(W72+1)^8.46)+(4.22-0.32*pt_rig)*LOG10((Sc_psi*Cd_rig*(W72^0.75-1.132))/(215.63*J_rig*(W72^0.75-18.42/(Ec_psi/k_pci)^0.25)))</f>
        <v/>
      </c>
    </row>
    <row r="73">
      <c r="T73" t="n">
        <v>3.6</v>
      </c>
      <c r="U73">
        <f>ZR_flex*S0_flex+9.36*LOG10(T73+1)-0.20+LOG10(dPSI_flex/2.7)/(0.40+1094/(T73+1)^5.19)+2.32*LOG10(MR_psi)-8.07</f>
        <v/>
      </c>
      <c r="W73" t="n">
        <v>9.199999999999999</v>
      </c>
      <c r="X73">
        <f>ZR_rig*S0_rig+7.35*LOG10(W73+1)-0.06+LOG10(dPSI_rig/3.0)/(1+1.624E7/(W73+1)^8.46)+(4.22-0.32*pt_rig)*LOG10((Sc_psi*Cd_rig*(W73^0.75-1.132))/(215.63*J_rig*(W73^0.75-18.42/(Ec_psi/k_pci)^0.25)))</f>
        <v/>
      </c>
    </row>
    <row r="74">
      <c r="T74" t="n">
        <v>3.65</v>
      </c>
      <c r="U74">
        <f>ZR_flex*S0_flex+9.36*LOG10(T74+1)-0.20+LOG10(dPSI_flex/2.7)/(0.40+1094/(T74+1)^5.19)+2.32*LOG10(MR_psi)-8.07</f>
        <v/>
      </c>
      <c r="W74" t="n">
        <v>9.300000000000001</v>
      </c>
      <c r="X74">
        <f>ZR_rig*S0_rig+7.35*LOG10(W74+1)-0.06+LOG10(dPSI_rig/3.0)/(1+1.624E7/(W74+1)^8.46)+(4.22-0.32*pt_rig)*LOG10((Sc_psi*Cd_rig*(W74^0.75-1.132))/(215.63*J_rig*(W74^0.75-18.42/(Ec_psi/k_pci)^0.25)))</f>
        <v/>
      </c>
    </row>
    <row r="75">
      <c r="T75" t="n">
        <v>3.7</v>
      </c>
      <c r="U75">
        <f>ZR_flex*S0_flex+9.36*LOG10(T75+1)-0.20+LOG10(dPSI_flex/2.7)/(0.40+1094/(T75+1)^5.19)+2.32*LOG10(MR_psi)-8.07</f>
        <v/>
      </c>
      <c r="W75" t="n">
        <v>9.4</v>
      </c>
      <c r="X75">
        <f>ZR_rig*S0_rig+7.35*LOG10(W75+1)-0.06+LOG10(dPSI_rig/3.0)/(1+1.624E7/(W75+1)^8.46)+(4.22-0.32*pt_rig)*LOG10((Sc_psi*Cd_rig*(W75^0.75-1.132))/(215.63*J_rig*(W75^0.75-18.42/(Ec_psi/k_pci)^0.25)))</f>
        <v/>
      </c>
    </row>
    <row r="76">
      <c r="T76" t="n">
        <v>3.75</v>
      </c>
      <c r="U76">
        <f>ZR_flex*S0_flex+9.36*LOG10(T76+1)-0.20+LOG10(dPSI_flex/2.7)/(0.40+1094/(T76+1)^5.19)+2.32*LOG10(MR_psi)-8.07</f>
        <v/>
      </c>
      <c r="W76" t="n">
        <v>9.5</v>
      </c>
      <c r="X76">
        <f>ZR_rig*S0_rig+7.35*LOG10(W76+1)-0.06+LOG10(dPSI_rig/3.0)/(1+1.624E7/(W76+1)^8.46)+(4.22-0.32*pt_rig)*LOG10((Sc_psi*Cd_rig*(W76^0.75-1.132))/(215.63*J_rig*(W76^0.75-18.42/(Ec_psi/k_pci)^0.25)))</f>
        <v/>
      </c>
    </row>
    <row r="77">
      <c r="T77" t="n">
        <v>3.8</v>
      </c>
      <c r="U77">
        <f>ZR_flex*S0_flex+9.36*LOG10(T77+1)-0.20+LOG10(dPSI_flex/2.7)/(0.40+1094/(T77+1)^5.19)+2.32*LOG10(MR_psi)-8.07</f>
        <v/>
      </c>
      <c r="W77" t="n">
        <v>9.6</v>
      </c>
      <c r="X77">
        <f>ZR_rig*S0_rig+7.35*LOG10(W77+1)-0.06+LOG10(dPSI_rig/3.0)/(1+1.624E7/(W77+1)^8.46)+(4.22-0.32*pt_rig)*LOG10((Sc_psi*Cd_rig*(W77^0.75-1.132))/(215.63*J_rig*(W77^0.75-18.42/(Ec_psi/k_pci)^0.25)))</f>
        <v/>
      </c>
    </row>
    <row r="78">
      <c r="T78" t="n">
        <v>3.85</v>
      </c>
      <c r="U78">
        <f>ZR_flex*S0_flex+9.36*LOG10(T78+1)-0.20+LOG10(dPSI_flex/2.7)/(0.40+1094/(T78+1)^5.19)+2.32*LOG10(MR_psi)-8.07</f>
        <v/>
      </c>
      <c r="W78" t="n">
        <v>9.699999999999999</v>
      </c>
      <c r="X78">
        <f>ZR_rig*S0_rig+7.35*LOG10(W78+1)-0.06+LOG10(dPSI_rig/3.0)/(1+1.624E7/(W78+1)^8.46)+(4.22-0.32*pt_rig)*LOG10((Sc_psi*Cd_rig*(W78^0.75-1.132))/(215.63*J_rig*(W78^0.75-18.42/(Ec_psi/k_pci)^0.25)))</f>
        <v/>
      </c>
    </row>
    <row r="79">
      <c r="T79" t="n">
        <v>3.9</v>
      </c>
      <c r="U79">
        <f>ZR_flex*S0_flex+9.36*LOG10(T79+1)-0.20+LOG10(dPSI_flex/2.7)/(0.40+1094/(T79+1)^5.19)+2.32*LOG10(MR_psi)-8.07</f>
        <v/>
      </c>
      <c r="W79" t="n">
        <v>9.800000000000001</v>
      </c>
      <c r="X79">
        <f>ZR_rig*S0_rig+7.35*LOG10(W79+1)-0.06+LOG10(dPSI_rig/3.0)/(1+1.624E7/(W79+1)^8.46)+(4.22-0.32*pt_rig)*LOG10((Sc_psi*Cd_rig*(W79^0.75-1.132))/(215.63*J_rig*(W79^0.75-18.42/(Ec_psi/k_pci)^0.25)))</f>
        <v/>
      </c>
    </row>
    <row r="80">
      <c r="T80" t="n">
        <v>3.95</v>
      </c>
      <c r="U80">
        <f>ZR_flex*S0_flex+9.36*LOG10(T80+1)-0.20+LOG10(dPSI_flex/2.7)/(0.40+1094/(T80+1)^5.19)+2.32*LOG10(MR_psi)-8.07</f>
        <v/>
      </c>
      <c r="W80" t="n">
        <v>9.9</v>
      </c>
      <c r="X80">
        <f>ZR_rig*S0_rig+7.35*LOG10(W80+1)-0.06+LOG10(dPSI_rig/3.0)/(1+1.624E7/(W80+1)^8.46)+(4.22-0.32*pt_rig)*LOG10((Sc_psi*Cd_rig*(W80^0.75-1.132))/(215.63*J_rig*(W80^0.75-18.42/(Ec_psi/k_pci)^0.25)))</f>
        <v/>
      </c>
    </row>
    <row r="81">
      <c r="T81" t="n">
        <v>4</v>
      </c>
      <c r="U81">
        <f>ZR_flex*S0_flex+9.36*LOG10(T81+1)-0.20+LOG10(dPSI_flex/2.7)/(0.40+1094/(T81+1)^5.19)+2.32*LOG10(MR_psi)-8.07</f>
        <v/>
      </c>
      <c r="W81" t="n">
        <v>10</v>
      </c>
      <c r="X81">
        <f>ZR_rig*S0_rig+7.35*LOG10(W81+1)-0.06+LOG10(dPSI_rig/3.0)/(1+1.624E7/(W81+1)^8.46)+(4.22-0.32*pt_rig)*LOG10((Sc_psi*Cd_rig*(W81^0.75-1.132))/(215.63*J_rig*(W81^0.75-18.42/(Ec_psi/k_pci)^0.25)))</f>
        <v/>
      </c>
    </row>
    <row r="82">
      <c r="T82" t="n">
        <v>4.05</v>
      </c>
      <c r="U82">
        <f>ZR_flex*S0_flex+9.36*LOG10(T82+1)-0.20+LOG10(dPSI_flex/2.7)/(0.40+1094/(T82+1)^5.19)+2.32*LOG10(MR_psi)-8.07</f>
        <v/>
      </c>
      <c r="W82" t="n">
        <v>10.1</v>
      </c>
      <c r="X82">
        <f>ZR_rig*S0_rig+7.35*LOG10(W82+1)-0.06+LOG10(dPSI_rig/3.0)/(1+1.624E7/(W82+1)^8.46)+(4.22-0.32*pt_rig)*LOG10((Sc_psi*Cd_rig*(W82^0.75-1.132))/(215.63*J_rig*(W82^0.75-18.42/(Ec_psi/k_pci)^0.25)))</f>
        <v/>
      </c>
    </row>
    <row r="83">
      <c r="T83" t="n">
        <v>4.1</v>
      </c>
      <c r="U83">
        <f>ZR_flex*S0_flex+9.36*LOG10(T83+1)-0.20+LOG10(dPSI_flex/2.7)/(0.40+1094/(T83+1)^5.19)+2.32*LOG10(MR_psi)-8.07</f>
        <v/>
      </c>
      <c r="W83" t="n">
        <v>10.2</v>
      </c>
      <c r="X83">
        <f>ZR_rig*S0_rig+7.35*LOG10(W83+1)-0.06+LOG10(dPSI_rig/3.0)/(1+1.624E7/(W83+1)^8.46)+(4.22-0.32*pt_rig)*LOG10((Sc_psi*Cd_rig*(W83^0.75-1.132))/(215.63*J_rig*(W83^0.75-18.42/(Ec_psi/k_pci)^0.25)))</f>
        <v/>
      </c>
    </row>
    <row r="84">
      <c r="T84" t="n">
        <v>4.15</v>
      </c>
      <c r="U84">
        <f>ZR_flex*S0_flex+9.36*LOG10(T84+1)-0.20+LOG10(dPSI_flex/2.7)/(0.40+1094/(T84+1)^5.19)+2.32*LOG10(MR_psi)-8.07</f>
        <v/>
      </c>
      <c r="W84" t="n">
        <v>10.3</v>
      </c>
      <c r="X84">
        <f>ZR_rig*S0_rig+7.35*LOG10(W84+1)-0.06+LOG10(dPSI_rig/3.0)/(1+1.624E7/(W84+1)^8.46)+(4.22-0.32*pt_rig)*LOG10((Sc_psi*Cd_rig*(W84^0.75-1.132))/(215.63*J_rig*(W84^0.75-18.42/(Ec_psi/k_pci)^0.25)))</f>
        <v/>
      </c>
    </row>
    <row r="85">
      <c r="T85" t="n">
        <v>4.2</v>
      </c>
      <c r="U85">
        <f>ZR_flex*S0_flex+9.36*LOG10(T85+1)-0.20+LOG10(dPSI_flex/2.7)/(0.40+1094/(T85+1)^5.19)+2.32*LOG10(MR_psi)-8.07</f>
        <v/>
      </c>
      <c r="W85" t="n">
        <v>10.4</v>
      </c>
      <c r="X85">
        <f>ZR_rig*S0_rig+7.35*LOG10(W85+1)-0.06+LOG10(dPSI_rig/3.0)/(1+1.624E7/(W85+1)^8.46)+(4.22-0.32*pt_rig)*LOG10((Sc_psi*Cd_rig*(W85^0.75-1.132))/(215.63*J_rig*(W85^0.75-18.42/(Ec_psi/k_pci)^0.25)))</f>
        <v/>
      </c>
    </row>
    <row r="86">
      <c r="T86" t="n">
        <v>4.25</v>
      </c>
      <c r="U86">
        <f>ZR_flex*S0_flex+9.36*LOG10(T86+1)-0.20+LOG10(dPSI_flex/2.7)/(0.40+1094/(T86+1)^5.19)+2.32*LOG10(MR_psi)-8.07</f>
        <v/>
      </c>
      <c r="W86" t="n">
        <v>10.5</v>
      </c>
      <c r="X86">
        <f>ZR_rig*S0_rig+7.35*LOG10(W86+1)-0.06+LOG10(dPSI_rig/3.0)/(1+1.624E7/(W86+1)^8.46)+(4.22-0.32*pt_rig)*LOG10((Sc_psi*Cd_rig*(W86^0.75-1.132))/(215.63*J_rig*(W86^0.75-18.42/(Ec_psi/k_pci)^0.25)))</f>
        <v/>
      </c>
    </row>
    <row r="87">
      <c r="T87" t="n">
        <v>4.3</v>
      </c>
      <c r="U87">
        <f>ZR_flex*S0_flex+9.36*LOG10(T87+1)-0.20+LOG10(dPSI_flex/2.7)/(0.40+1094/(T87+1)^5.19)+2.32*LOG10(MR_psi)-8.07</f>
        <v/>
      </c>
      <c r="W87" t="n">
        <v>10.6</v>
      </c>
      <c r="X87">
        <f>ZR_rig*S0_rig+7.35*LOG10(W87+1)-0.06+LOG10(dPSI_rig/3.0)/(1+1.624E7/(W87+1)^8.46)+(4.22-0.32*pt_rig)*LOG10((Sc_psi*Cd_rig*(W87^0.75-1.132))/(215.63*J_rig*(W87^0.75-18.42/(Ec_psi/k_pci)^0.25)))</f>
        <v/>
      </c>
    </row>
    <row r="88">
      <c r="T88" t="n">
        <v>4.35</v>
      </c>
      <c r="U88">
        <f>ZR_flex*S0_flex+9.36*LOG10(T88+1)-0.20+LOG10(dPSI_flex/2.7)/(0.40+1094/(T88+1)^5.19)+2.32*LOG10(MR_psi)-8.07</f>
        <v/>
      </c>
      <c r="W88" t="n">
        <v>10.7</v>
      </c>
      <c r="X88">
        <f>ZR_rig*S0_rig+7.35*LOG10(W88+1)-0.06+LOG10(dPSI_rig/3.0)/(1+1.624E7/(W88+1)^8.46)+(4.22-0.32*pt_rig)*LOG10((Sc_psi*Cd_rig*(W88^0.75-1.132))/(215.63*J_rig*(W88^0.75-18.42/(Ec_psi/k_pci)^0.25)))</f>
        <v/>
      </c>
    </row>
    <row r="89">
      <c r="T89" t="n">
        <v>4.4</v>
      </c>
      <c r="U89">
        <f>ZR_flex*S0_flex+9.36*LOG10(T89+1)-0.20+LOG10(dPSI_flex/2.7)/(0.40+1094/(T89+1)^5.19)+2.32*LOG10(MR_psi)-8.07</f>
        <v/>
      </c>
      <c r="W89" t="n">
        <v>10.8</v>
      </c>
      <c r="X89">
        <f>ZR_rig*S0_rig+7.35*LOG10(W89+1)-0.06+LOG10(dPSI_rig/3.0)/(1+1.624E7/(W89+1)^8.46)+(4.22-0.32*pt_rig)*LOG10((Sc_psi*Cd_rig*(W89^0.75-1.132))/(215.63*J_rig*(W89^0.75-18.42/(Ec_psi/k_pci)^0.25)))</f>
        <v/>
      </c>
    </row>
    <row r="90">
      <c r="T90" t="n">
        <v>4.45</v>
      </c>
      <c r="U90">
        <f>ZR_flex*S0_flex+9.36*LOG10(T90+1)-0.20+LOG10(dPSI_flex/2.7)/(0.40+1094/(T90+1)^5.19)+2.32*LOG10(MR_psi)-8.07</f>
        <v/>
      </c>
      <c r="W90" t="n">
        <v>10.9</v>
      </c>
      <c r="X90">
        <f>ZR_rig*S0_rig+7.35*LOG10(W90+1)-0.06+LOG10(dPSI_rig/3.0)/(1+1.624E7/(W90+1)^8.46)+(4.22-0.32*pt_rig)*LOG10((Sc_psi*Cd_rig*(W90^0.75-1.132))/(215.63*J_rig*(W90^0.75-18.42/(Ec_psi/k_pci)^0.25)))</f>
        <v/>
      </c>
    </row>
    <row r="91">
      <c r="T91" t="n">
        <v>4.5</v>
      </c>
      <c r="U91">
        <f>ZR_flex*S0_flex+9.36*LOG10(T91+1)-0.20+LOG10(dPSI_flex/2.7)/(0.40+1094/(T91+1)^5.19)+2.32*LOG10(MR_psi)-8.07</f>
        <v/>
      </c>
      <c r="W91" t="n">
        <v>11</v>
      </c>
      <c r="X91">
        <f>ZR_rig*S0_rig+7.35*LOG10(W91+1)-0.06+LOG10(dPSI_rig/3.0)/(1+1.624E7/(W91+1)^8.46)+(4.22-0.32*pt_rig)*LOG10((Sc_psi*Cd_rig*(W91^0.75-1.132))/(215.63*J_rig*(W91^0.75-18.42/(Ec_psi/k_pci)^0.25)))</f>
        <v/>
      </c>
    </row>
    <row r="92">
      <c r="T92" t="n">
        <v>4.55</v>
      </c>
      <c r="U92">
        <f>ZR_flex*S0_flex+9.36*LOG10(T92+1)-0.20+LOG10(dPSI_flex/2.7)/(0.40+1094/(T92+1)^5.19)+2.32*LOG10(MR_psi)-8.07</f>
        <v/>
      </c>
      <c r="W92" t="n">
        <v>11.1</v>
      </c>
      <c r="X92">
        <f>ZR_rig*S0_rig+7.35*LOG10(W92+1)-0.06+LOG10(dPSI_rig/3.0)/(1+1.624E7/(W92+1)^8.46)+(4.22-0.32*pt_rig)*LOG10((Sc_psi*Cd_rig*(W92^0.75-1.132))/(215.63*J_rig*(W92^0.75-18.42/(Ec_psi/k_pci)^0.25)))</f>
        <v/>
      </c>
    </row>
    <row r="93">
      <c r="T93" t="n">
        <v>4.6</v>
      </c>
      <c r="U93">
        <f>ZR_flex*S0_flex+9.36*LOG10(T93+1)-0.20+LOG10(dPSI_flex/2.7)/(0.40+1094/(T93+1)^5.19)+2.32*LOG10(MR_psi)-8.07</f>
        <v/>
      </c>
      <c r="W93" t="n">
        <v>11.2</v>
      </c>
      <c r="X93">
        <f>ZR_rig*S0_rig+7.35*LOG10(W93+1)-0.06+LOG10(dPSI_rig/3.0)/(1+1.624E7/(W93+1)^8.46)+(4.22-0.32*pt_rig)*LOG10((Sc_psi*Cd_rig*(W93^0.75-1.132))/(215.63*J_rig*(W93^0.75-18.42/(Ec_psi/k_pci)^0.25)))</f>
        <v/>
      </c>
    </row>
    <row r="94">
      <c r="T94" t="n">
        <v>4.65</v>
      </c>
      <c r="U94">
        <f>ZR_flex*S0_flex+9.36*LOG10(T94+1)-0.20+LOG10(dPSI_flex/2.7)/(0.40+1094/(T94+1)^5.19)+2.32*LOG10(MR_psi)-8.07</f>
        <v/>
      </c>
      <c r="W94" t="n">
        <v>11.3</v>
      </c>
      <c r="X94">
        <f>ZR_rig*S0_rig+7.35*LOG10(W94+1)-0.06+LOG10(dPSI_rig/3.0)/(1+1.624E7/(W94+1)^8.46)+(4.22-0.32*pt_rig)*LOG10((Sc_psi*Cd_rig*(W94^0.75-1.132))/(215.63*J_rig*(W94^0.75-18.42/(Ec_psi/k_pci)^0.25)))</f>
        <v/>
      </c>
    </row>
    <row r="95">
      <c r="T95" t="n">
        <v>4.7</v>
      </c>
      <c r="U95">
        <f>ZR_flex*S0_flex+9.36*LOG10(T95+1)-0.20+LOG10(dPSI_flex/2.7)/(0.40+1094/(T95+1)^5.19)+2.32*LOG10(MR_psi)-8.07</f>
        <v/>
      </c>
      <c r="W95" t="n">
        <v>11.4</v>
      </c>
      <c r="X95">
        <f>ZR_rig*S0_rig+7.35*LOG10(W95+1)-0.06+LOG10(dPSI_rig/3.0)/(1+1.624E7/(W95+1)^8.46)+(4.22-0.32*pt_rig)*LOG10((Sc_psi*Cd_rig*(W95^0.75-1.132))/(215.63*J_rig*(W95^0.75-18.42/(Ec_psi/k_pci)^0.25)))</f>
        <v/>
      </c>
    </row>
    <row r="96">
      <c r="T96" t="n">
        <v>4.75</v>
      </c>
      <c r="U96">
        <f>ZR_flex*S0_flex+9.36*LOG10(T96+1)-0.20+LOG10(dPSI_flex/2.7)/(0.40+1094/(T96+1)^5.19)+2.32*LOG10(MR_psi)-8.07</f>
        <v/>
      </c>
      <c r="W96" t="n">
        <v>11.5</v>
      </c>
      <c r="X96">
        <f>ZR_rig*S0_rig+7.35*LOG10(W96+1)-0.06+LOG10(dPSI_rig/3.0)/(1+1.624E7/(W96+1)^8.46)+(4.22-0.32*pt_rig)*LOG10((Sc_psi*Cd_rig*(W96^0.75-1.132))/(215.63*J_rig*(W96^0.75-18.42/(Ec_psi/k_pci)^0.25)))</f>
        <v/>
      </c>
    </row>
    <row r="97">
      <c r="T97" t="n">
        <v>4.8</v>
      </c>
      <c r="U97">
        <f>ZR_flex*S0_flex+9.36*LOG10(T97+1)-0.20+LOG10(dPSI_flex/2.7)/(0.40+1094/(T97+1)^5.19)+2.32*LOG10(MR_psi)-8.07</f>
        <v/>
      </c>
      <c r="W97" t="n">
        <v>11.6</v>
      </c>
      <c r="X97">
        <f>ZR_rig*S0_rig+7.35*LOG10(W97+1)-0.06+LOG10(dPSI_rig/3.0)/(1+1.624E7/(W97+1)^8.46)+(4.22-0.32*pt_rig)*LOG10((Sc_psi*Cd_rig*(W97^0.75-1.132))/(215.63*J_rig*(W97^0.75-18.42/(Ec_psi/k_pci)^0.25)))</f>
        <v/>
      </c>
    </row>
    <row r="98">
      <c r="T98" t="n">
        <v>4.85</v>
      </c>
      <c r="U98">
        <f>ZR_flex*S0_flex+9.36*LOG10(T98+1)-0.20+LOG10(dPSI_flex/2.7)/(0.40+1094/(T98+1)^5.19)+2.32*LOG10(MR_psi)-8.07</f>
        <v/>
      </c>
      <c r="W98" t="n">
        <v>11.7</v>
      </c>
      <c r="X98">
        <f>ZR_rig*S0_rig+7.35*LOG10(W98+1)-0.06+LOG10(dPSI_rig/3.0)/(1+1.624E7/(W98+1)^8.46)+(4.22-0.32*pt_rig)*LOG10((Sc_psi*Cd_rig*(W98^0.75-1.132))/(215.63*J_rig*(W98^0.75-18.42/(Ec_psi/k_pci)^0.25)))</f>
        <v/>
      </c>
    </row>
    <row r="99">
      <c r="T99" t="n">
        <v>4.9</v>
      </c>
      <c r="U99">
        <f>ZR_flex*S0_flex+9.36*LOG10(T99+1)-0.20+LOG10(dPSI_flex/2.7)/(0.40+1094/(T99+1)^5.19)+2.32*LOG10(MR_psi)-8.07</f>
        <v/>
      </c>
      <c r="W99" t="n">
        <v>11.8</v>
      </c>
      <c r="X99">
        <f>ZR_rig*S0_rig+7.35*LOG10(W99+1)-0.06+LOG10(dPSI_rig/3.0)/(1+1.624E7/(W99+1)^8.46)+(4.22-0.32*pt_rig)*LOG10((Sc_psi*Cd_rig*(W99^0.75-1.132))/(215.63*J_rig*(W99^0.75-18.42/(Ec_psi/k_pci)^0.25)))</f>
        <v/>
      </c>
    </row>
    <row r="100">
      <c r="T100" t="n">
        <v>4.95</v>
      </c>
      <c r="U100">
        <f>ZR_flex*S0_flex+9.36*LOG10(T100+1)-0.20+LOG10(dPSI_flex/2.7)/(0.40+1094/(T100+1)^5.19)+2.32*LOG10(MR_psi)-8.07</f>
        <v/>
      </c>
      <c r="W100" t="n">
        <v>11.9</v>
      </c>
      <c r="X100">
        <f>ZR_rig*S0_rig+7.35*LOG10(W100+1)-0.06+LOG10(dPSI_rig/3.0)/(1+1.624E7/(W100+1)^8.46)+(4.22-0.32*pt_rig)*LOG10((Sc_psi*Cd_rig*(W100^0.75-1.132))/(215.63*J_rig*(W100^0.75-18.42/(Ec_psi/k_pci)^0.25)))</f>
        <v/>
      </c>
    </row>
    <row r="101">
      <c r="T101" t="n">
        <v>5</v>
      </c>
      <c r="U101">
        <f>ZR_flex*S0_flex+9.36*LOG10(T101+1)-0.20+LOG10(dPSI_flex/2.7)/(0.40+1094/(T101+1)^5.19)+2.32*LOG10(MR_psi)-8.07</f>
        <v/>
      </c>
      <c r="W101" t="n">
        <v>12</v>
      </c>
      <c r="X101">
        <f>ZR_rig*S0_rig+7.35*LOG10(W101+1)-0.06+LOG10(dPSI_rig/3.0)/(1+1.624E7/(W101+1)^8.46)+(4.22-0.32*pt_rig)*LOG10((Sc_psi*Cd_rig*(W101^0.75-1.132))/(215.63*J_rig*(W101^0.75-18.42/(Ec_psi/k_pci)^0.25)))</f>
        <v/>
      </c>
    </row>
    <row r="102">
      <c r="T102" t="n">
        <v>5.05</v>
      </c>
      <c r="U102">
        <f>ZR_flex*S0_flex+9.36*LOG10(T102+1)-0.20+LOG10(dPSI_flex/2.7)/(0.40+1094/(T102+1)^5.19)+2.32*LOG10(MR_psi)-8.07</f>
        <v/>
      </c>
      <c r="W102" t="n">
        <v>12.1</v>
      </c>
      <c r="X102">
        <f>ZR_rig*S0_rig+7.35*LOG10(W102+1)-0.06+LOG10(dPSI_rig/3.0)/(1+1.624E7/(W102+1)^8.46)+(4.22-0.32*pt_rig)*LOG10((Sc_psi*Cd_rig*(W102^0.75-1.132))/(215.63*J_rig*(W102^0.75-18.42/(Ec_psi/k_pci)^0.25)))</f>
        <v/>
      </c>
    </row>
    <row r="103">
      <c r="T103" t="n">
        <v>5.1</v>
      </c>
      <c r="U103">
        <f>ZR_flex*S0_flex+9.36*LOG10(T103+1)-0.20+LOG10(dPSI_flex/2.7)/(0.40+1094/(T103+1)^5.19)+2.32*LOG10(MR_psi)-8.07</f>
        <v/>
      </c>
      <c r="W103" t="n">
        <v>12.2</v>
      </c>
      <c r="X103">
        <f>ZR_rig*S0_rig+7.35*LOG10(W103+1)-0.06+LOG10(dPSI_rig/3.0)/(1+1.624E7/(W103+1)^8.46)+(4.22-0.32*pt_rig)*LOG10((Sc_psi*Cd_rig*(W103^0.75-1.132))/(215.63*J_rig*(W103^0.75-18.42/(Ec_psi/k_pci)^0.25)))</f>
        <v/>
      </c>
    </row>
    <row r="104">
      <c r="T104" t="n">
        <v>5.15</v>
      </c>
      <c r="U104">
        <f>ZR_flex*S0_flex+9.36*LOG10(T104+1)-0.20+LOG10(dPSI_flex/2.7)/(0.40+1094/(T104+1)^5.19)+2.32*LOG10(MR_psi)-8.07</f>
        <v/>
      </c>
      <c r="W104" t="n">
        <v>12.3</v>
      </c>
      <c r="X104">
        <f>ZR_rig*S0_rig+7.35*LOG10(W104+1)-0.06+LOG10(dPSI_rig/3.0)/(1+1.624E7/(W104+1)^8.46)+(4.22-0.32*pt_rig)*LOG10((Sc_psi*Cd_rig*(W104^0.75-1.132))/(215.63*J_rig*(W104^0.75-18.42/(Ec_psi/k_pci)^0.25)))</f>
        <v/>
      </c>
    </row>
    <row r="105">
      <c r="T105" t="n">
        <v>5.2</v>
      </c>
      <c r="U105">
        <f>ZR_flex*S0_flex+9.36*LOG10(T105+1)-0.20+LOG10(dPSI_flex/2.7)/(0.40+1094/(T105+1)^5.19)+2.32*LOG10(MR_psi)-8.07</f>
        <v/>
      </c>
      <c r="W105" t="n">
        <v>12.4</v>
      </c>
      <c r="X105">
        <f>ZR_rig*S0_rig+7.35*LOG10(W105+1)-0.06+LOG10(dPSI_rig/3.0)/(1+1.624E7/(W105+1)^8.46)+(4.22-0.32*pt_rig)*LOG10((Sc_psi*Cd_rig*(W105^0.75-1.132))/(215.63*J_rig*(W105^0.75-18.42/(Ec_psi/k_pci)^0.25)))</f>
        <v/>
      </c>
    </row>
    <row r="106">
      <c r="T106" t="n">
        <v>5.25</v>
      </c>
      <c r="U106">
        <f>ZR_flex*S0_flex+9.36*LOG10(T106+1)-0.20+LOG10(dPSI_flex/2.7)/(0.40+1094/(T106+1)^5.19)+2.32*LOG10(MR_psi)-8.07</f>
        <v/>
      </c>
      <c r="W106" t="n">
        <v>12.5</v>
      </c>
      <c r="X106">
        <f>ZR_rig*S0_rig+7.35*LOG10(W106+1)-0.06+LOG10(dPSI_rig/3.0)/(1+1.624E7/(W106+1)^8.46)+(4.22-0.32*pt_rig)*LOG10((Sc_psi*Cd_rig*(W106^0.75-1.132))/(215.63*J_rig*(W106^0.75-18.42/(Ec_psi/k_pci)^0.25)))</f>
        <v/>
      </c>
    </row>
    <row r="107">
      <c r="T107" t="n">
        <v>5.3</v>
      </c>
      <c r="U107">
        <f>ZR_flex*S0_flex+9.36*LOG10(T107+1)-0.20+LOG10(dPSI_flex/2.7)/(0.40+1094/(T107+1)^5.19)+2.32*LOG10(MR_psi)-8.07</f>
        <v/>
      </c>
      <c r="W107" t="n">
        <v>12.6</v>
      </c>
      <c r="X107">
        <f>ZR_rig*S0_rig+7.35*LOG10(W107+1)-0.06+LOG10(dPSI_rig/3.0)/(1+1.624E7/(W107+1)^8.46)+(4.22-0.32*pt_rig)*LOG10((Sc_psi*Cd_rig*(W107^0.75-1.132))/(215.63*J_rig*(W107^0.75-18.42/(Ec_psi/k_pci)^0.25)))</f>
        <v/>
      </c>
    </row>
    <row r="108">
      <c r="T108" t="n">
        <v>5.35</v>
      </c>
      <c r="U108">
        <f>ZR_flex*S0_flex+9.36*LOG10(T108+1)-0.20+LOG10(dPSI_flex/2.7)/(0.40+1094/(T108+1)^5.19)+2.32*LOG10(MR_psi)-8.07</f>
        <v/>
      </c>
      <c r="W108" t="n">
        <v>12.7</v>
      </c>
      <c r="X108">
        <f>ZR_rig*S0_rig+7.35*LOG10(W108+1)-0.06+LOG10(dPSI_rig/3.0)/(1+1.624E7/(W108+1)^8.46)+(4.22-0.32*pt_rig)*LOG10((Sc_psi*Cd_rig*(W108^0.75-1.132))/(215.63*J_rig*(W108^0.75-18.42/(Ec_psi/k_pci)^0.25)))</f>
        <v/>
      </c>
    </row>
    <row r="109">
      <c r="T109" t="n">
        <v>5.4</v>
      </c>
      <c r="U109">
        <f>ZR_flex*S0_flex+9.36*LOG10(T109+1)-0.20+LOG10(dPSI_flex/2.7)/(0.40+1094/(T109+1)^5.19)+2.32*LOG10(MR_psi)-8.07</f>
        <v/>
      </c>
      <c r="W109" t="n">
        <v>12.8</v>
      </c>
      <c r="X109">
        <f>ZR_rig*S0_rig+7.35*LOG10(W109+1)-0.06+LOG10(dPSI_rig/3.0)/(1+1.624E7/(W109+1)^8.46)+(4.22-0.32*pt_rig)*LOG10((Sc_psi*Cd_rig*(W109^0.75-1.132))/(215.63*J_rig*(W109^0.75-18.42/(Ec_psi/k_pci)^0.25)))</f>
        <v/>
      </c>
    </row>
    <row r="110">
      <c r="T110" t="n">
        <v>5.45</v>
      </c>
      <c r="U110">
        <f>ZR_flex*S0_flex+9.36*LOG10(T110+1)-0.20+LOG10(dPSI_flex/2.7)/(0.40+1094/(T110+1)^5.19)+2.32*LOG10(MR_psi)-8.07</f>
        <v/>
      </c>
      <c r="W110" t="n">
        <v>12.9</v>
      </c>
      <c r="X110">
        <f>ZR_rig*S0_rig+7.35*LOG10(W110+1)-0.06+LOG10(dPSI_rig/3.0)/(1+1.624E7/(W110+1)^8.46)+(4.22-0.32*pt_rig)*LOG10((Sc_psi*Cd_rig*(W110^0.75-1.132))/(215.63*J_rig*(W110^0.75-18.42/(Ec_psi/k_pci)^0.25)))</f>
        <v/>
      </c>
    </row>
    <row r="111">
      <c r="T111" t="n">
        <v>5.5</v>
      </c>
      <c r="U111">
        <f>ZR_flex*S0_flex+9.36*LOG10(T111+1)-0.20+LOG10(dPSI_flex/2.7)/(0.40+1094/(T111+1)^5.19)+2.32*LOG10(MR_psi)-8.07</f>
        <v/>
      </c>
      <c r="W111" t="n">
        <v>13</v>
      </c>
      <c r="X111">
        <f>ZR_rig*S0_rig+7.35*LOG10(W111+1)-0.06+LOG10(dPSI_rig/3.0)/(1+1.624E7/(W111+1)^8.46)+(4.22-0.32*pt_rig)*LOG10((Sc_psi*Cd_rig*(W111^0.75-1.132))/(215.63*J_rig*(W111^0.75-18.42/(Ec_psi/k_pci)^0.25)))</f>
        <v/>
      </c>
    </row>
    <row r="112">
      <c r="T112" t="n">
        <v>5.55</v>
      </c>
      <c r="U112">
        <f>ZR_flex*S0_flex+9.36*LOG10(T112+1)-0.20+LOG10(dPSI_flex/2.7)/(0.40+1094/(T112+1)^5.19)+2.32*LOG10(MR_psi)-8.07</f>
        <v/>
      </c>
      <c r="W112" t="n">
        <v>13.1</v>
      </c>
      <c r="X112">
        <f>ZR_rig*S0_rig+7.35*LOG10(W112+1)-0.06+LOG10(dPSI_rig/3.0)/(1+1.624E7/(W112+1)^8.46)+(4.22-0.32*pt_rig)*LOG10((Sc_psi*Cd_rig*(W112^0.75-1.132))/(215.63*J_rig*(W112^0.75-18.42/(Ec_psi/k_pci)^0.25)))</f>
        <v/>
      </c>
    </row>
    <row r="113">
      <c r="T113" t="n">
        <v>5.6</v>
      </c>
      <c r="U113">
        <f>ZR_flex*S0_flex+9.36*LOG10(T113+1)-0.20+LOG10(dPSI_flex/2.7)/(0.40+1094/(T113+1)^5.19)+2.32*LOG10(MR_psi)-8.07</f>
        <v/>
      </c>
      <c r="W113" t="n">
        <v>13.2</v>
      </c>
      <c r="X113">
        <f>ZR_rig*S0_rig+7.35*LOG10(W113+1)-0.06+LOG10(dPSI_rig/3.0)/(1+1.624E7/(W113+1)^8.46)+(4.22-0.32*pt_rig)*LOG10((Sc_psi*Cd_rig*(W113^0.75-1.132))/(215.63*J_rig*(W113^0.75-18.42/(Ec_psi/k_pci)^0.25)))</f>
        <v/>
      </c>
    </row>
    <row r="114">
      <c r="T114" t="n">
        <v>5.65</v>
      </c>
      <c r="U114">
        <f>ZR_flex*S0_flex+9.36*LOG10(T114+1)-0.20+LOG10(dPSI_flex/2.7)/(0.40+1094/(T114+1)^5.19)+2.32*LOG10(MR_psi)-8.07</f>
        <v/>
      </c>
      <c r="W114" t="n">
        <v>13.3</v>
      </c>
      <c r="X114">
        <f>ZR_rig*S0_rig+7.35*LOG10(W114+1)-0.06+LOG10(dPSI_rig/3.0)/(1+1.624E7/(W114+1)^8.46)+(4.22-0.32*pt_rig)*LOG10((Sc_psi*Cd_rig*(W114^0.75-1.132))/(215.63*J_rig*(W114^0.75-18.42/(Ec_psi/k_pci)^0.25)))</f>
        <v/>
      </c>
    </row>
    <row r="115">
      <c r="T115" t="n">
        <v>5.7</v>
      </c>
      <c r="U115">
        <f>ZR_flex*S0_flex+9.36*LOG10(T115+1)-0.20+LOG10(dPSI_flex/2.7)/(0.40+1094/(T115+1)^5.19)+2.32*LOG10(MR_psi)-8.07</f>
        <v/>
      </c>
      <c r="W115" t="n">
        <v>13.4</v>
      </c>
      <c r="X115">
        <f>ZR_rig*S0_rig+7.35*LOG10(W115+1)-0.06+LOG10(dPSI_rig/3.0)/(1+1.624E7/(W115+1)^8.46)+(4.22-0.32*pt_rig)*LOG10((Sc_psi*Cd_rig*(W115^0.75-1.132))/(215.63*J_rig*(W115^0.75-18.42/(Ec_psi/k_pci)^0.25)))</f>
        <v/>
      </c>
    </row>
    <row r="116">
      <c r="T116" t="n">
        <v>5.75</v>
      </c>
      <c r="U116">
        <f>ZR_flex*S0_flex+9.36*LOG10(T116+1)-0.20+LOG10(dPSI_flex/2.7)/(0.40+1094/(T116+1)^5.19)+2.32*LOG10(MR_psi)-8.07</f>
        <v/>
      </c>
      <c r="W116" t="n">
        <v>13.5</v>
      </c>
      <c r="X116">
        <f>ZR_rig*S0_rig+7.35*LOG10(W116+1)-0.06+LOG10(dPSI_rig/3.0)/(1+1.624E7/(W116+1)^8.46)+(4.22-0.32*pt_rig)*LOG10((Sc_psi*Cd_rig*(W116^0.75-1.132))/(215.63*J_rig*(W116^0.75-18.42/(Ec_psi/k_pci)^0.25)))</f>
        <v/>
      </c>
    </row>
    <row r="117">
      <c r="T117" t="n">
        <v>5.8</v>
      </c>
      <c r="U117">
        <f>ZR_flex*S0_flex+9.36*LOG10(T117+1)-0.20+LOG10(dPSI_flex/2.7)/(0.40+1094/(T117+1)^5.19)+2.32*LOG10(MR_psi)-8.07</f>
        <v/>
      </c>
      <c r="W117" t="n">
        <v>13.6</v>
      </c>
      <c r="X117">
        <f>ZR_rig*S0_rig+7.35*LOG10(W117+1)-0.06+LOG10(dPSI_rig/3.0)/(1+1.624E7/(W117+1)^8.46)+(4.22-0.32*pt_rig)*LOG10((Sc_psi*Cd_rig*(W117^0.75-1.132))/(215.63*J_rig*(W117^0.75-18.42/(Ec_psi/k_pci)^0.25)))</f>
        <v/>
      </c>
    </row>
    <row r="118">
      <c r="T118" t="n">
        <v>5.85</v>
      </c>
      <c r="U118">
        <f>ZR_flex*S0_flex+9.36*LOG10(T118+1)-0.20+LOG10(dPSI_flex/2.7)/(0.40+1094/(T118+1)^5.19)+2.32*LOG10(MR_psi)-8.07</f>
        <v/>
      </c>
      <c r="W118" t="n">
        <v>13.7</v>
      </c>
      <c r="X118">
        <f>ZR_rig*S0_rig+7.35*LOG10(W118+1)-0.06+LOG10(dPSI_rig/3.0)/(1+1.624E7/(W118+1)^8.46)+(4.22-0.32*pt_rig)*LOG10((Sc_psi*Cd_rig*(W118^0.75-1.132))/(215.63*J_rig*(W118^0.75-18.42/(Ec_psi/k_pci)^0.25)))</f>
        <v/>
      </c>
    </row>
    <row r="119">
      <c r="T119" t="n">
        <v>5.9</v>
      </c>
      <c r="U119">
        <f>ZR_flex*S0_flex+9.36*LOG10(T119+1)-0.20+LOG10(dPSI_flex/2.7)/(0.40+1094/(T119+1)^5.19)+2.32*LOG10(MR_psi)-8.07</f>
        <v/>
      </c>
      <c r="W119" t="n">
        <v>13.8</v>
      </c>
      <c r="X119">
        <f>ZR_rig*S0_rig+7.35*LOG10(W119+1)-0.06+LOG10(dPSI_rig/3.0)/(1+1.624E7/(W119+1)^8.46)+(4.22-0.32*pt_rig)*LOG10((Sc_psi*Cd_rig*(W119^0.75-1.132))/(215.63*J_rig*(W119^0.75-18.42/(Ec_psi/k_pci)^0.25)))</f>
        <v/>
      </c>
    </row>
    <row r="120">
      <c r="T120" t="n">
        <v>5.95</v>
      </c>
      <c r="U120">
        <f>ZR_flex*S0_flex+9.36*LOG10(T120+1)-0.20+LOG10(dPSI_flex/2.7)/(0.40+1094/(T120+1)^5.19)+2.32*LOG10(MR_psi)-8.07</f>
        <v/>
      </c>
      <c r="W120" t="n">
        <v>13.9</v>
      </c>
      <c r="X120">
        <f>ZR_rig*S0_rig+7.35*LOG10(W120+1)-0.06+LOG10(dPSI_rig/3.0)/(1+1.624E7/(W120+1)^8.46)+(4.22-0.32*pt_rig)*LOG10((Sc_psi*Cd_rig*(W120^0.75-1.132))/(215.63*J_rig*(W120^0.75-18.42/(Ec_psi/k_pci)^0.25)))</f>
        <v/>
      </c>
    </row>
    <row r="121">
      <c r="T121" t="n">
        <v>6</v>
      </c>
      <c r="U121">
        <f>ZR_flex*S0_flex+9.36*LOG10(T121+1)-0.20+LOG10(dPSI_flex/2.7)/(0.40+1094/(T121+1)^5.19)+2.32*LOG10(MR_psi)-8.07</f>
        <v/>
      </c>
      <c r="W121" t="n">
        <v>14</v>
      </c>
      <c r="X121">
        <f>ZR_rig*S0_rig+7.35*LOG10(W121+1)-0.06+LOG10(dPSI_rig/3.0)/(1+1.624E7/(W121+1)^8.46)+(4.22-0.32*pt_rig)*LOG10((Sc_psi*Cd_rig*(W121^0.75-1.132))/(215.63*J_rig*(W121^0.75-18.42/(Ec_psi/k_pci)^0.25)))</f>
        <v/>
      </c>
    </row>
    <row r="122">
      <c r="T122" t="n">
        <v>6.05</v>
      </c>
      <c r="U122">
        <f>ZR_flex*S0_flex+9.36*LOG10(T122+1)-0.20+LOG10(dPSI_flex/2.7)/(0.40+1094/(T122+1)^5.19)+2.32*LOG10(MR_psi)-8.07</f>
        <v/>
      </c>
      <c r="W122" t="n">
        <v>14.1</v>
      </c>
      <c r="X122">
        <f>ZR_rig*S0_rig+7.35*LOG10(W122+1)-0.06+LOG10(dPSI_rig/3.0)/(1+1.624E7/(W122+1)^8.46)+(4.22-0.32*pt_rig)*LOG10((Sc_psi*Cd_rig*(W122^0.75-1.132))/(215.63*J_rig*(W122^0.75-18.42/(Ec_psi/k_pci)^0.25)))</f>
        <v/>
      </c>
    </row>
    <row r="123">
      <c r="T123" t="n">
        <v>6.1</v>
      </c>
      <c r="U123">
        <f>ZR_flex*S0_flex+9.36*LOG10(T123+1)-0.20+LOG10(dPSI_flex/2.7)/(0.40+1094/(T123+1)^5.19)+2.32*LOG10(MR_psi)-8.07</f>
        <v/>
      </c>
      <c r="W123" t="n">
        <v>14.2</v>
      </c>
      <c r="X123">
        <f>ZR_rig*S0_rig+7.35*LOG10(W123+1)-0.06+LOG10(dPSI_rig/3.0)/(1+1.624E7/(W123+1)^8.46)+(4.22-0.32*pt_rig)*LOG10((Sc_psi*Cd_rig*(W123^0.75-1.132))/(215.63*J_rig*(W123^0.75-18.42/(Ec_psi/k_pci)^0.25)))</f>
        <v/>
      </c>
    </row>
    <row r="124">
      <c r="T124" t="n">
        <v>6.15</v>
      </c>
      <c r="U124">
        <f>ZR_flex*S0_flex+9.36*LOG10(T124+1)-0.20+LOG10(dPSI_flex/2.7)/(0.40+1094/(T124+1)^5.19)+2.32*LOG10(MR_psi)-8.07</f>
        <v/>
      </c>
      <c r="W124" t="n">
        <v>14.3</v>
      </c>
      <c r="X124">
        <f>ZR_rig*S0_rig+7.35*LOG10(W124+1)-0.06+LOG10(dPSI_rig/3.0)/(1+1.624E7/(W124+1)^8.46)+(4.22-0.32*pt_rig)*LOG10((Sc_psi*Cd_rig*(W124^0.75-1.132))/(215.63*J_rig*(W124^0.75-18.42/(Ec_psi/k_pci)^0.25)))</f>
        <v/>
      </c>
    </row>
    <row r="125">
      <c r="T125" t="n">
        <v>6.2</v>
      </c>
      <c r="U125">
        <f>ZR_flex*S0_flex+9.36*LOG10(T125+1)-0.20+LOG10(dPSI_flex/2.7)/(0.40+1094/(T125+1)^5.19)+2.32*LOG10(MR_psi)-8.07</f>
        <v/>
      </c>
      <c r="W125" t="n">
        <v>14.4</v>
      </c>
      <c r="X125">
        <f>ZR_rig*S0_rig+7.35*LOG10(W125+1)-0.06+LOG10(dPSI_rig/3.0)/(1+1.624E7/(W125+1)^8.46)+(4.22-0.32*pt_rig)*LOG10((Sc_psi*Cd_rig*(W125^0.75-1.132))/(215.63*J_rig*(W125^0.75-18.42/(Ec_psi/k_pci)^0.25)))</f>
        <v/>
      </c>
    </row>
    <row r="126">
      <c r="T126" t="n">
        <v>6.25</v>
      </c>
      <c r="U126">
        <f>ZR_flex*S0_flex+9.36*LOG10(T126+1)-0.20+LOG10(dPSI_flex/2.7)/(0.40+1094/(T126+1)^5.19)+2.32*LOG10(MR_psi)-8.07</f>
        <v/>
      </c>
      <c r="W126" t="n">
        <v>14.5</v>
      </c>
      <c r="X126">
        <f>ZR_rig*S0_rig+7.35*LOG10(W126+1)-0.06+LOG10(dPSI_rig/3.0)/(1+1.624E7/(W126+1)^8.46)+(4.22-0.32*pt_rig)*LOG10((Sc_psi*Cd_rig*(W126^0.75-1.132))/(215.63*J_rig*(W126^0.75-18.42/(Ec_psi/k_pci)^0.25)))</f>
        <v/>
      </c>
    </row>
    <row r="127">
      <c r="T127" t="n">
        <v>6.3</v>
      </c>
      <c r="U127">
        <f>ZR_flex*S0_flex+9.36*LOG10(T127+1)-0.20+LOG10(dPSI_flex/2.7)/(0.40+1094/(T127+1)^5.19)+2.32*LOG10(MR_psi)-8.07</f>
        <v/>
      </c>
      <c r="W127" t="n">
        <v>14.6</v>
      </c>
      <c r="X127">
        <f>ZR_rig*S0_rig+7.35*LOG10(W127+1)-0.06+LOG10(dPSI_rig/3.0)/(1+1.624E7/(W127+1)^8.46)+(4.22-0.32*pt_rig)*LOG10((Sc_psi*Cd_rig*(W127^0.75-1.132))/(215.63*J_rig*(W127^0.75-18.42/(Ec_psi/k_pci)^0.25)))</f>
        <v/>
      </c>
    </row>
    <row r="128">
      <c r="T128" t="n">
        <v>6.35</v>
      </c>
      <c r="U128">
        <f>ZR_flex*S0_flex+9.36*LOG10(T128+1)-0.20+LOG10(dPSI_flex/2.7)/(0.40+1094/(T128+1)^5.19)+2.32*LOG10(MR_psi)-8.07</f>
        <v/>
      </c>
      <c r="W128" t="n">
        <v>14.7</v>
      </c>
      <c r="X128">
        <f>ZR_rig*S0_rig+7.35*LOG10(W128+1)-0.06+LOG10(dPSI_rig/3.0)/(1+1.624E7/(W128+1)^8.46)+(4.22-0.32*pt_rig)*LOG10((Sc_psi*Cd_rig*(W128^0.75-1.132))/(215.63*J_rig*(W128^0.75-18.42/(Ec_psi/k_pci)^0.25)))</f>
        <v/>
      </c>
    </row>
    <row r="129">
      <c r="T129" t="n">
        <v>6.4</v>
      </c>
      <c r="U129">
        <f>ZR_flex*S0_flex+9.36*LOG10(T129+1)-0.20+LOG10(dPSI_flex/2.7)/(0.40+1094/(T129+1)^5.19)+2.32*LOG10(MR_psi)-8.07</f>
        <v/>
      </c>
      <c r="W129" t="n">
        <v>14.8</v>
      </c>
      <c r="X129">
        <f>ZR_rig*S0_rig+7.35*LOG10(W129+1)-0.06+LOG10(dPSI_rig/3.0)/(1+1.624E7/(W129+1)^8.46)+(4.22-0.32*pt_rig)*LOG10((Sc_psi*Cd_rig*(W129^0.75-1.132))/(215.63*J_rig*(W129^0.75-18.42/(Ec_psi/k_pci)^0.25)))</f>
        <v/>
      </c>
    </row>
    <row r="130">
      <c r="T130" t="n">
        <v>6.45</v>
      </c>
      <c r="U130">
        <f>ZR_flex*S0_flex+9.36*LOG10(T130+1)-0.20+LOG10(dPSI_flex/2.7)/(0.40+1094/(T130+1)^5.19)+2.32*LOG10(MR_psi)-8.07</f>
        <v/>
      </c>
      <c r="W130" t="n">
        <v>14.9</v>
      </c>
      <c r="X130">
        <f>ZR_rig*S0_rig+7.35*LOG10(W130+1)-0.06+LOG10(dPSI_rig/3.0)/(1+1.624E7/(W130+1)^8.46)+(4.22-0.32*pt_rig)*LOG10((Sc_psi*Cd_rig*(W130^0.75-1.132))/(215.63*J_rig*(W130^0.75-18.42/(Ec_psi/k_pci)^0.25)))</f>
        <v/>
      </c>
    </row>
    <row r="131">
      <c r="T131" t="n">
        <v>6.5</v>
      </c>
      <c r="U131">
        <f>ZR_flex*S0_flex+9.36*LOG10(T131+1)-0.20+LOG10(dPSI_flex/2.7)/(0.40+1094/(T131+1)^5.19)+2.32*LOG10(MR_psi)-8.07</f>
        <v/>
      </c>
      <c r="W131" t="n">
        <v>15</v>
      </c>
      <c r="X131">
        <f>ZR_rig*S0_rig+7.35*LOG10(W131+1)-0.06+LOG10(dPSI_rig/3.0)/(1+1.624E7/(W131+1)^8.46)+(4.22-0.32*pt_rig)*LOG10((Sc_psi*Cd_rig*(W131^0.75-1.132))/(215.63*J_rig*(W131^0.75-18.42/(Ec_psi/k_pci)^0.25)))</f>
        <v/>
      </c>
    </row>
    <row r="132">
      <c r="T132" t="n">
        <v>6.55</v>
      </c>
      <c r="U132">
        <f>ZR_flex*S0_flex+9.36*LOG10(T132+1)-0.20+LOG10(dPSI_flex/2.7)/(0.40+1094/(T132+1)^5.19)+2.32*LOG10(MR_psi)-8.07</f>
        <v/>
      </c>
      <c r="W132" t="n">
        <v>15.1</v>
      </c>
      <c r="X132">
        <f>ZR_rig*S0_rig+7.35*LOG10(W132+1)-0.06+LOG10(dPSI_rig/3.0)/(1+1.624E7/(W132+1)^8.46)+(4.22-0.32*pt_rig)*LOG10((Sc_psi*Cd_rig*(W132^0.75-1.132))/(215.63*J_rig*(W132^0.75-18.42/(Ec_psi/k_pci)^0.25)))</f>
        <v/>
      </c>
    </row>
    <row r="133">
      <c r="T133" t="n">
        <v>6.6</v>
      </c>
      <c r="U133">
        <f>ZR_flex*S0_flex+9.36*LOG10(T133+1)-0.20+LOG10(dPSI_flex/2.7)/(0.40+1094/(T133+1)^5.19)+2.32*LOG10(MR_psi)-8.07</f>
        <v/>
      </c>
      <c r="W133" t="n">
        <v>15.2</v>
      </c>
      <c r="X133">
        <f>ZR_rig*S0_rig+7.35*LOG10(W133+1)-0.06+LOG10(dPSI_rig/3.0)/(1+1.624E7/(W133+1)^8.46)+(4.22-0.32*pt_rig)*LOG10((Sc_psi*Cd_rig*(W133^0.75-1.132))/(215.63*J_rig*(W133^0.75-18.42/(Ec_psi/k_pci)^0.25)))</f>
        <v/>
      </c>
    </row>
    <row r="134">
      <c r="T134" t="n">
        <v>6.65</v>
      </c>
      <c r="U134">
        <f>ZR_flex*S0_flex+9.36*LOG10(T134+1)-0.20+LOG10(dPSI_flex/2.7)/(0.40+1094/(T134+1)^5.19)+2.32*LOG10(MR_psi)-8.07</f>
        <v/>
      </c>
      <c r="W134" t="n">
        <v>15.3</v>
      </c>
      <c r="X134">
        <f>ZR_rig*S0_rig+7.35*LOG10(W134+1)-0.06+LOG10(dPSI_rig/3.0)/(1+1.624E7/(W134+1)^8.46)+(4.22-0.32*pt_rig)*LOG10((Sc_psi*Cd_rig*(W134^0.75-1.132))/(215.63*J_rig*(W134^0.75-18.42/(Ec_psi/k_pci)^0.25)))</f>
        <v/>
      </c>
    </row>
    <row r="135">
      <c r="T135" t="n">
        <v>6.7</v>
      </c>
      <c r="U135">
        <f>ZR_flex*S0_flex+9.36*LOG10(T135+1)-0.20+LOG10(dPSI_flex/2.7)/(0.40+1094/(T135+1)^5.19)+2.32*LOG10(MR_psi)-8.07</f>
        <v/>
      </c>
      <c r="W135" t="n">
        <v>15.4</v>
      </c>
      <c r="X135">
        <f>ZR_rig*S0_rig+7.35*LOG10(W135+1)-0.06+LOG10(dPSI_rig/3.0)/(1+1.624E7/(W135+1)^8.46)+(4.22-0.32*pt_rig)*LOG10((Sc_psi*Cd_rig*(W135^0.75-1.132))/(215.63*J_rig*(W135^0.75-18.42/(Ec_psi/k_pci)^0.25)))</f>
        <v/>
      </c>
    </row>
    <row r="136">
      <c r="T136" t="n">
        <v>6.75</v>
      </c>
      <c r="U136">
        <f>ZR_flex*S0_flex+9.36*LOG10(T136+1)-0.20+LOG10(dPSI_flex/2.7)/(0.40+1094/(T136+1)^5.19)+2.32*LOG10(MR_psi)-8.07</f>
        <v/>
      </c>
      <c r="W136" t="n">
        <v>15.5</v>
      </c>
      <c r="X136">
        <f>ZR_rig*S0_rig+7.35*LOG10(W136+1)-0.06+LOG10(dPSI_rig/3.0)/(1+1.624E7/(W136+1)^8.46)+(4.22-0.32*pt_rig)*LOG10((Sc_psi*Cd_rig*(W136^0.75-1.132))/(215.63*J_rig*(W136^0.75-18.42/(Ec_psi/k_pci)^0.25)))</f>
        <v/>
      </c>
    </row>
    <row r="137">
      <c r="T137" t="n">
        <v>6.8</v>
      </c>
      <c r="U137">
        <f>ZR_flex*S0_flex+9.36*LOG10(T137+1)-0.20+LOG10(dPSI_flex/2.7)/(0.40+1094/(T137+1)^5.19)+2.32*LOG10(MR_psi)-8.07</f>
        <v/>
      </c>
      <c r="W137" t="n">
        <v>15.6</v>
      </c>
      <c r="X137">
        <f>ZR_rig*S0_rig+7.35*LOG10(W137+1)-0.06+LOG10(dPSI_rig/3.0)/(1+1.624E7/(W137+1)^8.46)+(4.22-0.32*pt_rig)*LOG10((Sc_psi*Cd_rig*(W137^0.75-1.132))/(215.63*J_rig*(W137^0.75-18.42/(Ec_psi/k_pci)^0.25)))</f>
        <v/>
      </c>
    </row>
    <row r="138">
      <c r="T138" t="n">
        <v>6.85</v>
      </c>
      <c r="U138">
        <f>ZR_flex*S0_flex+9.36*LOG10(T138+1)-0.20+LOG10(dPSI_flex/2.7)/(0.40+1094/(T138+1)^5.19)+2.32*LOG10(MR_psi)-8.07</f>
        <v/>
      </c>
      <c r="W138" t="n">
        <v>15.7</v>
      </c>
      <c r="X138">
        <f>ZR_rig*S0_rig+7.35*LOG10(W138+1)-0.06+LOG10(dPSI_rig/3.0)/(1+1.624E7/(W138+1)^8.46)+(4.22-0.32*pt_rig)*LOG10((Sc_psi*Cd_rig*(W138^0.75-1.132))/(215.63*J_rig*(W138^0.75-18.42/(Ec_psi/k_pci)^0.25)))</f>
        <v/>
      </c>
    </row>
    <row r="139">
      <c r="T139" t="n">
        <v>6.9</v>
      </c>
      <c r="U139">
        <f>ZR_flex*S0_flex+9.36*LOG10(T139+1)-0.20+LOG10(dPSI_flex/2.7)/(0.40+1094/(T139+1)^5.19)+2.32*LOG10(MR_psi)-8.07</f>
        <v/>
      </c>
      <c r="W139" t="n">
        <v>15.8</v>
      </c>
      <c r="X139">
        <f>ZR_rig*S0_rig+7.35*LOG10(W139+1)-0.06+LOG10(dPSI_rig/3.0)/(1+1.624E7/(W139+1)^8.46)+(4.22-0.32*pt_rig)*LOG10((Sc_psi*Cd_rig*(W139^0.75-1.132))/(215.63*J_rig*(W139^0.75-18.42/(Ec_psi/k_pci)^0.25)))</f>
        <v/>
      </c>
    </row>
    <row r="140">
      <c r="T140" t="n">
        <v>6.95</v>
      </c>
      <c r="U140">
        <f>ZR_flex*S0_flex+9.36*LOG10(T140+1)-0.20+LOG10(dPSI_flex/2.7)/(0.40+1094/(T140+1)^5.19)+2.32*LOG10(MR_psi)-8.07</f>
        <v/>
      </c>
      <c r="W140" t="n">
        <v>15.9</v>
      </c>
      <c r="X140">
        <f>ZR_rig*S0_rig+7.35*LOG10(W140+1)-0.06+LOG10(dPSI_rig/3.0)/(1+1.624E7/(W140+1)^8.46)+(4.22-0.32*pt_rig)*LOG10((Sc_psi*Cd_rig*(W140^0.75-1.132))/(215.63*J_rig*(W140^0.75-18.42/(Ec_psi/k_pci)^0.25)))</f>
        <v/>
      </c>
    </row>
    <row r="141">
      <c r="T141" t="n">
        <v>7</v>
      </c>
      <c r="U141">
        <f>ZR_flex*S0_flex+9.36*LOG10(T141+1)-0.20+LOG10(dPSI_flex/2.7)/(0.40+1094/(T141+1)^5.19)+2.32*LOG10(MR_psi)-8.07</f>
        <v/>
      </c>
      <c r="W141" t="n">
        <v>16</v>
      </c>
      <c r="X141">
        <f>ZR_rig*S0_rig+7.35*LOG10(W141+1)-0.06+LOG10(dPSI_rig/3.0)/(1+1.624E7/(W141+1)^8.46)+(4.22-0.32*pt_rig)*LOG10((Sc_psi*Cd_rig*(W141^0.75-1.132))/(215.63*J_rig*(W141^0.75-18.42/(Ec_psi/k_pci)^0.25)))</f>
        <v/>
      </c>
    </row>
    <row r="142">
      <c r="T142" t="n">
        <v>7.05</v>
      </c>
      <c r="U142">
        <f>ZR_flex*S0_flex+9.36*LOG10(T142+1)-0.20+LOG10(dPSI_flex/2.7)/(0.40+1094/(T142+1)^5.19)+2.32*LOG10(MR_psi)-8.07</f>
        <v/>
      </c>
      <c r="W142" t="n">
        <v>16.1</v>
      </c>
      <c r="X142">
        <f>ZR_rig*S0_rig+7.35*LOG10(W142+1)-0.06+LOG10(dPSI_rig/3.0)/(1+1.624E7/(W142+1)^8.46)+(4.22-0.32*pt_rig)*LOG10((Sc_psi*Cd_rig*(W142^0.75-1.132))/(215.63*J_rig*(W142^0.75-18.42/(Ec_psi/k_pci)^0.25)))</f>
        <v/>
      </c>
    </row>
    <row r="143">
      <c r="T143" t="n">
        <v>7.1</v>
      </c>
      <c r="U143">
        <f>ZR_flex*S0_flex+9.36*LOG10(T143+1)-0.20+LOG10(dPSI_flex/2.7)/(0.40+1094/(T143+1)^5.19)+2.32*LOG10(MR_psi)-8.07</f>
        <v/>
      </c>
      <c r="W143" t="n">
        <v>16.2</v>
      </c>
      <c r="X143">
        <f>ZR_rig*S0_rig+7.35*LOG10(W143+1)-0.06+LOG10(dPSI_rig/3.0)/(1+1.624E7/(W143+1)^8.46)+(4.22-0.32*pt_rig)*LOG10((Sc_psi*Cd_rig*(W143^0.75-1.132))/(215.63*J_rig*(W143^0.75-18.42/(Ec_psi/k_pci)^0.25)))</f>
        <v/>
      </c>
    </row>
    <row r="144">
      <c r="T144" t="n">
        <v>7.15</v>
      </c>
      <c r="U144">
        <f>ZR_flex*S0_flex+9.36*LOG10(T144+1)-0.20+LOG10(dPSI_flex/2.7)/(0.40+1094/(T144+1)^5.19)+2.32*LOG10(MR_psi)-8.07</f>
        <v/>
      </c>
      <c r="W144" t="n">
        <v>16.3</v>
      </c>
      <c r="X144">
        <f>ZR_rig*S0_rig+7.35*LOG10(W144+1)-0.06+LOG10(dPSI_rig/3.0)/(1+1.624E7/(W144+1)^8.46)+(4.22-0.32*pt_rig)*LOG10((Sc_psi*Cd_rig*(W144^0.75-1.132))/(215.63*J_rig*(W144^0.75-18.42/(Ec_psi/k_pci)^0.25)))</f>
        <v/>
      </c>
    </row>
    <row r="145">
      <c r="T145" t="n">
        <v>7.2</v>
      </c>
      <c r="U145">
        <f>ZR_flex*S0_flex+9.36*LOG10(T145+1)-0.20+LOG10(dPSI_flex/2.7)/(0.40+1094/(T145+1)^5.19)+2.32*LOG10(MR_psi)-8.07</f>
        <v/>
      </c>
      <c r="W145" t="n">
        <v>16.4</v>
      </c>
      <c r="X145">
        <f>ZR_rig*S0_rig+7.35*LOG10(W145+1)-0.06+LOG10(dPSI_rig/3.0)/(1+1.624E7/(W145+1)^8.46)+(4.22-0.32*pt_rig)*LOG10((Sc_psi*Cd_rig*(W145^0.75-1.132))/(215.63*J_rig*(W145^0.75-18.42/(Ec_psi/k_pci)^0.25)))</f>
        <v/>
      </c>
    </row>
    <row r="146">
      <c r="T146" t="n">
        <v>7.25</v>
      </c>
      <c r="U146">
        <f>ZR_flex*S0_flex+9.36*LOG10(T146+1)-0.20+LOG10(dPSI_flex/2.7)/(0.40+1094/(T146+1)^5.19)+2.32*LOG10(MR_psi)-8.07</f>
        <v/>
      </c>
      <c r="W146" t="n">
        <v>16.5</v>
      </c>
      <c r="X146">
        <f>ZR_rig*S0_rig+7.35*LOG10(W146+1)-0.06+LOG10(dPSI_rig/3.0)/(1+1.624E7/(W146+1)^8.46)+(4.22-0.32*pt_rig)*LOG10((Sc_psi*Cd_rig*(W146^0.75-1.132))/(215.63*J_rig*(W146^0.75-18.42/(Ec_psi/k_pci)^0.25)))</f>
        <v/>
      </c>
    </row>
    <row r="147">
      <c r="T147" t="n">
        <v>7.3</v>
      </c>
      <c r="U147">
        <f>ZR_flex*S0_flex+9.36*LOG10(T147+1)-0.20+LOG10(dPSI_flex/2.7)/(0.40+1094/(T147+1)^5.19)+2.32*LOG10(MR_psi)-8.07</f>
        <v/>
      </c>
      <c r="W147" t="n">
        <v>16.6</v>
      </c>
      <c r="X147">
        <f>ZR_rig*S0_rig+7.35*LOG10(W147+1)-0.06+LOG10(dPSI_rig/3.0)/(1+1.624E7/(W147+1)^8.46)+(4.22-0.32*pt_rig)*LOG10((Sc_psi*Cd_rig*(W147^0.75-1.132))/(215.63*J_rig*(W147^0.75-18.42/(Ec_psi/k_pci)^0.25)))</f>
        <v/>
      </c>
    </row>
    <row r="148">
      <c r="T148" t="n">
        <v>7.35</v>
      </c>
      <c r="U148">
        <f>ZR_flex*S0_flex+9.36*LOG10(T148+1)-0.20+LOG10(dPSI_flex/2.7)/(0.40+1094/(T148+1)^5.19)+2.32*LOG10(MR_psi)-8.07</f>
        <v/>
      </c>
      <c r="W148" t="n">
        <v>16.7</v>
      </c>
      <c r="X148">
        <f>ZR_rig*S0_rig+7.35*LOG10(W148+1)-0.06+LOG10(dPSI_rig/3.0)/(1+1.624E7/(W148+1)^8.46)+(4.22-0.32*pt_rig)*LOG10((Sc_psi*Cd_rig*(W148^0.75-1.132))/(215.63*J_rig*(W148^0.75-18.42/(Ec_psi/k_pci)^0.25)))</f>
        <v/>
      </c>
    </row>
    <row r="149">
      <c r="T149" t="n">
        <v>7.4</v>
      </c>
      <c r="U149">
        <f>ZR_flex*S0_flex+9.36*LOG10(T149+1)-0.20+LOG10(dPSI_flex/2.7)/(0.40+1094/(T149+1)^5.19)+2.32*LOG10(MR_psi)-8.07</f>
        <v/>
      </c>
      <c r="W149" t="n">
        <v>16.8</v>
      </c>
      <c r="X149">
        <f>ZR_rig*S0_rig+7.35*LOG10(W149+1)-0.06+LOG10(dPSI_rig/3.0)/(1+1.624E7/(W149+1)^8.46)+(4.22-0.32*pt_rig)*LOG10((Sc_psi*Cd_rig*(W149^0.75-1.132))/(215.63*J_rig*(W149^0.75-18.42/(Ec_psi/k_pci)^0.25)))</f>
        <v/>
      </c>
    </row>
    <row r="150">
      <c r="T150" t="n">
        <v>7.45</v>
      </c>
      <c r="U150">
        <f>ZR_flex*S0_flex+9.36*LOG10(T150+1)-0.20+LOG10(dPSI_flex/2.7)/(0.40+1094/(T150+1)^5.19)+2.32*LOG10(MR_psi)-8.07</f>
        <v/>
      </c>
      <c r="W150" t="n">
        <v>16.9</v>
      </c>
      <c r="X150">
        <f>ZR_rig*S0_rig+7.35*LOG10(W150+1)-0.06+LOG10(dPSI_rig/3.0)/(1+1.624E7/(W150+1)^8.46)+(4.22-0.32*pt_rig)*LOG10((Sc_psi*Cd_rig*(W150^0.75-1.132))/(215.63*J_rig*(W150^0.75-18.42/(Ec_psi/k_pci)^0.25)))</f>
        <v/>
      </c>
    </row>
    <row r="151">
      <c r="T151" t="n">
        <v>7.5</v>
      </c>
      <c r="U151">
        <f>ZR_flex*S0_flex+9.36*LOG10(T151+1)-0.20+LOG10(dPSI_flex/2.7)/(0.40+1094/(T151+1)^5.19)+2.32*LOG10(MR_psi)-8.07</f>
        <v/>
      </c>
      <c r="W151" t="n">
        <v>17</v>
      </c>
      <c r="X151">
        <f>ZR_rig*S0_rig+7.35*LOG10(W151+1)-0.06+LOG10(dPSI_rig/3.0)/(1+1.624E7/(W151+1)^8.46)+(4.22-0.32*pt_rig)*LOG10((Sc_psi*Cd_rig*(W151^0.75-1.132))/(215.63*J_rig*(W151^0.75-18.42/(Ec_psi/k_pci)^0.25)))</f>
        <v/>
      </c>
    </row>
    <row r="152">
      <c r="T152" t="n">
        <v>7.55</v>
      </c>
      <c r="U152">
        <f>ZR_flex*S0_flex+9.36*LOG10(T152+1)-0.20+LOG10(dPSI_flex/2.7)/(0.40+1094/(T152+1)^5.19)+2.32*LOG10(MR_psi)-8.07</f>
        <v/>
      </c>
      <c r="W152" t="n">
        <v>17.1</v>
      </c>
      <c r="X152">
        <f>ZR_rig*S0_rig+7.35*LOG10(W152+1)-0.06+LOG10(dPSI_rig/3.0)/(1+1.624E7/(W152+1)^8.46)+(4.22-0.32*pt_rig)*LOG10((Sc_psi*Cd_rig*(W152^0.75-1.132))/(215.63*J_rig*(W152^0.75-18.42/(Ec_psi/k_pci)^0.25)))</f>
        <v/>
      </c>
    </row>
    <row r="153">
      <c r="T153" t="n">
        <v>7.6</v>
      </c>
      <c r="U153">
        <f>ZR_flex*S0_flex+9.36*LOG10(T153+1)-0.20+LOG10(dPSI_flex/2.7)/(0.40+1094/(T153+1)^5.19)+2.32*LOG10(MR_psi)-8.07</f>
        <v/>
      </c>
      <c r="W153" t="n">
        <v>17.2</v>
      </c>
      <c r="X153">
        <f>ZR_rig*S0_rig+7.35*LOG10(W153+1)-0.06+LOG10(dPSI_rig/3.0)/(1+1.624E7/(W153+1)^8.46)+(4.22-0.32*pt_rig)*LOG10((Sc_psi*Cd_rig*(W153^0.75-1.132))/(215.63*J_rig*(W153^0.75-18.42/(Ec_psi/k_pci)^0.25)))</f>
        <v/>
      </c>
    </row>
    <row r="154">
      <c r="T154" t="n">
        <v>7.65</v>
      </c>
      <c r="U154">
        <f>ZR_flex*S0_flex+9.36*LOG10(T154+1)-0.20+LOG10(dPSI_flex/2.7)/(0.40+1094/(T154+1)^5.19)+2.32*LOG10(MR_psi)-8.07</f>
        <v/>
      </c>
      <c r="W154" t="n">
        <v>17.3</v>
      </c>
      <c r="X154">
        <f>ZR_rig*S0_rig+7.35*LOG10(W154+1)-0.06+LOG10(dPSI_rig/3.0)/(1+1.624E7/(W154+1)^8.46)+(4.22-0.32*pt_rig)*LOG10((Sc_psi*Cd_rig*(W154^0.75-1.132))/(215.63*J_rig*(W154^0.75-18.42/(Ec_psi/k_pci)^0.25)))</f>
        <v/>
      </c>
    </row>
    <row r="155">
      <c r="T155" t="n">
        <v>7.7</v>
      </c>
      <c r="U155">
        <f>ZR_flex*S0_flex+9.36*LOG10(T155+1)-0.20+LOG10(dPSI_flex/2.7)/(0.40+1094/(T155+1)^5.19)+2.32*LOG10(MR_psi)-8.07</f>
        <v/>
      </c>
      <c r="W155" t="n">
        <v>17.4</v>
      </c>
      <c r="X155">
        <f>ZR_rig*S0_rig+7.35*LOG10(W155+1)-0.06+LOG10(dPSI_rig/3.0)/(1+1.624E7/(W155+1)^8.46)+(4.22-0.32*pt_rig)*LOG10((Sc_psi*Cd_rig*(W155^0.75-1.132))/(215.63*J_rig*(W155^0.75-18.42/(Ec_psi/k_pci)^0.25)))</f>
        <v/>
      </c>
    </row>
    <row r="156">
      <c r="T156" t="n">
        <v>7.75</v>
      </c>
      <c r="U156">
        <f>ZR_flex*S0_flex+9.36*LOG10(T156+1)-0.20+LOG10(dPSI_flex/2.7)/(0.40+1094/(T156+1)^5.19)+2.32*LOG10(MR_psi)-8.07</f>
        <v/>
      </c>
      <c r="W156" t="n">
        <v>17.5</v>
      </c>
      <c r="X156">
        <f>ZR_rig*S0_rig+7.35*LOG10(W156+1)-0.06+LOG10(dPSI_rig/3.0)/(1+1.624E7/(W156+1)^8.46)+(4.22-0.32*pt_rig)*LOG10((Sc_psi*Cd_rig*(W156^0.75-1.132))/(215.63*J_rig*(W156^0.75-18.42/(Ec_psi/k_pci)^0.25)))</f>
        <v/>
      </c>
    </row>
    <row r="157">
      <c r="T157" t="n">
        <v>7.8</v>
      </c>
      <c r="U157">
        <f>ZR_flex*S0_flex+9.36*LOG10(T157+1)-0.20+LOG10(dPSI_flex/2.7)/(0.40+1094/(T157+1)^5.19)+2.32*LOG10(MR_psi)-8.07</f>
        <v/>
      </c>
      <c r="W157" t="n">
        <v>17.6</v>
      </c>
      <c r="X157">
        <f>ZR_rig*S0_rig+7.35*LOG10(W157+1)-0.06+LOG10(dPSI_rig/3.0)/(1+1.624E7/(W157+1)^8.46)+(4.22-0.32*pt_rig)*LOG10((Sc_psi*Cd_rig*(W157^0.75-1.132))/(215.63*J_rig*(W157^0.75-18.42/(Ec_psi/k_pci)^0.25)))</f>
        <v/>
      </c>
    </row>
    <row r="158">
      <c r="T158" t="n">
        <v>7.85</v>
      </c>
      <c r="U158">
        <f>ZR_flex*S0_flex+9.36*LOG10(T158+1)-0.20+LOG10(dPSI_flex/2.7)/(0.40+1094/(T158+1)^5.19)+2.32*LOG10(MR_psi)-8.07</f>
        <v/>
      </c>
      <c r="W158" t="n">
        <v>17.7</v>
      </c>
      <c r="X158">
        <f>ZR_rig*S0_rig+7.35*LOG10(W158+1)-0.06+LOG10(dPSI_rig/3.0)/(1+1.624E7/(W158+1)^8.46)+(4.22-0.32*pt_rig)*LOG10((Sc_psi*Cd_rig*(W158^0.75-1.132))/(215.63*J_rig*(W158^0.75-18.42/(Ec_psi/k_pci)^0.25)))</f>
        <v/>
      </c>
    </row>
    <row r="159">
      <c r="T159" t="n">
        <v>7.9</v>
      </c>
      <c r="U159">
        <f>ZR_flex*S0_flex+9.36*LOG10(T159+1)-0.20+LOG10(dPSI_flex/2.7)/(0.40+1094/(T159+1)^5.19)+2.32*LOG10(MR_psi)-8.07</f>
        <v/>
      </c>
      <c r="W159" t="n">
        <v>17.8</v>
      </c>
      <c r="X159">
        <f>ZR_rig*S0_rig+7.35*LOG10(W159+1)-0.06+LOG10(dPSI_rig/3.0)/(1+1.624E7/(W159+1)^8.46)+(4.22-0.32*pt_rig)*LOG10((Sc_psi*Cd_rig*(W159^0.75-1.132))/(215.63*J_rig*(W159^0.75-18.42/(Ec_psi/k_pci)^0.25)))</f>
        <v/>
      </c>
    </row>
    <row r="160">
      <c r="T160" t="n">
        <v>7.95</v>
      </c>
      <c r="U160">
        <f>ZR_flex*S0_flex+9.36*LOG10(T160+1)-0.20+LOG10(dPSI_flex/2.7)/(0.40+1094/(T160+1)^5.19)+2.32*LOG10(MR_psi)-8.07</f>
        <v/>
      </c>
      <c r="W160" t="n">
        <v>17.9</v>
      </c>
      <c r="X160">
        <f>ZR_rig*S0_rig+7.35*LOG10(W160+1)-0.06+LOG10(dPSI_rig/3.0)/(1+1.624E7/(W160+1)^8.46)+(4.22-0.32*pt_rig)*LOG10((Sc_psi*Cd_rig*(W160^0.75-1.132))/(215.63*J_rig*(W160^0.75-18.42/(Ec_psi/k_pci)^0.25)))</f>
        <v/>
      </c>
    </row>
    <row r="161">
      <c r="T161" t="n">
        <v>8</v>
      </c>
      <c r="U161">
        <f>ZR_flex*S0_flex+9.36*LOG10(T161+1)-0.20+LOG10(dPSI_flex/2.7)/(0.40+1094/(T161+1)^5.19)+2.32*LOG10(MR_psi)-8.07</f>
        <v/>
      </c>
      <c r="W161" t="n">
        <v>18</v>
      </c>
      <c r="X161">
        <f>ZR_rig*S0_rig+7.35*LOG10(W161+1)-0.06+LOG10(dPSI_rig/3.0)/(1+1.624E7/(W161+1)^8.46)+(4.22-0.32*pt_rig)*LOG10((Sc_psi*Cd_rig*(W161^0.75-1.132))/(215.63*J_rig*(W161^0.75-18.42/(Ec_psi/k_pci)^0.25)))</f>
        <v/>
      </c>
    </row>
    <row r="162">
      <c r="T162" t="n">
        <v>8.050000000000001</v>
      </c>
      <c r="U162">
        <f>ZR_flex*S0_flex+9.36*LOG10(T162+1)-0.20+LOG10(dPSI_flex/2.7)/(0.40+1094/(T162+1)^5.19)+2.32*LOG10(MR_psi)-8.07</f>
        <v/>
      </c>
      <c r="W162" t="n">
        <v>18.1</v>
      </c>
      <c r="X162">
        <f>ZR_rig*S0_rig+7.35*LOG10(W162+1)-0.06+LOG10(dPSI_rig/3.0)/(1+1.624E7/(W162+1)^8.46)+(4.22-0.32*pt_rig)*LOG10((Sc_psi*Cd_rig*(W162^0.75-1.132))/(215.63*J_rig*(W162^0.75-18.42/(Ec_psi/k_pci)^0.25)))</f>
        <v/>
      </c>
    </row>
    <row r="163">
      <c r="T163" t="n">
        <v>8.1</v>
      </c>
      <c r="U163">
        <f>ZR_flex*S0_flex+9.36*LOG10(T163+1)-0.20+LOG10(dPSI_flex/2.7)/(0.40+1094/(T163+1)^5.19)+2.32*LOG10(MR_psi)-8.07</f>
        <v/>
      </c>
      <c r="W163" t="n">
        <v>18.2</v>
      </c>
      <c r="X163">
        <f>ZR_rig*S0_rig+7.35*LOG10(W163+1)-0.06+LOG10(dPSI_rig/3.0)/(1+1.624E7/(W163+1)^8.46)+(4.22-0.32*pt_rig)*LOG10((Sc_psi*Cd_rig*(W163^0.75-1.132))/(215.63*J_rig*(W163^0.75-18.42/(Ec_psi/k_pci)^0.25)))</f>
        <v/>
      </c>
    </row>
    <row r="164">
      <c r="T164" t="n">
        <v>8.15</v>
      </c>
      <c r="U164">
        <f>ZR_flex*S0_flex+9.36*LOG10(T164+1)-0.20+LOG10(dPSI_flex/2.7)/(0.40+1094/(T164+1)^5.19)+2.32*LOG10(MR_psi)-8.07</f>
        <v/>
      </c>
      <c r="W164" t="n">
        <v>18.3</v>
      </c>
      <c r="X164">
        <f>ZR_rig*S0_rig+7.35*LOG10(W164+1)-0.06+LOG10(dPSI_rig/3.0)/(1+1.624E7/(W164+1)^8.46)+(4.22-0.32*pt_rig)*LOG10((Sc_psi*Cd_rig*(W164^0.75-1.132))/(215.63*J_rig*(W164^0.75-18.42/(Ec_psi/k_pci)^0.25)))</f>
        <v/>
      </c>
    </row>
    <row r="165">
      <c r="T165" t="n">
        <v>8.199999999999999</v>
      </c>
      <c r="U165">
        <f>ZR_flex*S0_flex+9.36*LOG10(T165+1)-0.20+LOG10(dPSI_flex/2.7)/(0.40+1094/(T165+1)^5.19)+2.32*LOG10(MR_psi)-8.07</f>
        <v/>
      </c>
      <c r="W165" t="n">
        <v>18.4</v>
      </c>
      <c r="X165">
        <f>ZR_rig*S0_rig+7.35*LOG10(W165+1)-0.06+LOG10(dPSI_rig/3.0)/(1+1.624E7/(W165+1)^8.46)+(4.22-0.32*pt_rig)*LOG10((Sc_psi*Cd_rig*(W165^0.75-1.132))/(215.63*J_rig*(W165^0.75-18.42/(Ec_psi/k_pci)^0.25)))</f>
        <v/>
      </c>
    </row>
    <row r="166">
      <c r="T166" t="n">
        <v>8.25</v>
      </c>
      <c r="U166">
        <f>ZR_flex*S0_flex+9.36*LOG10(T166+1)-0.20+LOG10(dPSI_flex/2.7)/(0.40+1094/(T166+1)^5.19)+2.32*LOG10(MR_psi)-8.07</f>
        <v/>
      </c>
      <c r="W166" t="n">
        <v>18.5</v>
      </c>
      <c r="X166">
        <f>ZR_rig*S0_rig+7.35*LOG10(W166+1)-0.06+LOG10(dPSI_rig/3.0)/(1+1.624E7/(W166+1)^8.46)+(4.22-0.32*pt_rig)*LOG10((Sc_psi*Cd_rig*(W166^0.75-1.132))/(215.63*J_rig*(W166^0.75-18.42/(Ec_psi/k_pci)^0.25)))</f>
        <v/>
      </c>
    </row>
    <row r="167">
      <c r="T167" t="n">
        <v>8.300000000000001</v>
      </c>
      <c r="U167">
        <f>ZR_flex*S0_flex+9.36*LOG10(T167+1)-0.20+LOG10(dPSI_flex/2.7)/(0.40+1094/(T167+1)^5.19)+2.32*LOG10(MR_psi)-8.07</f>
        <v/>
      </c>
      <c r="W167" t="n">
        <v>18.6</v>
      </c>
      <c r="X167">
        <f>ZR_rig*S0_rig+7.35*LOG10(W167+1)-0.06+LOG10(dPSI_rig/3.0)/(1+1.624E7/(W167+1)^8.46)+(4.22-0.32*pt_rig)*LOG10((Sc_psi*Cd_rig*(W167^0.75-1.132))/(215.63*J_rig*(W167^0.75-18.42/(Ec_psi/k_pci)^0.25)))</f>
        <v/>
      </c>
    </row>
    <row r="168">
      <c r="T168" t="n">
        <v>8.35</v>
      </c>
      <c r="U168">
        <f>ZR_flex*S0_flex+9.36*LOG10(T168+1)-0.20+LOG10(dPSI_flex/2.7)/(0.40+1094/(T168+1)^5.19)+2.32*LOG10(MR_psi)-8.07</f>
        <v/>
      </c>
      <c r="W168" t="n">
        <v>18.7</v>
      </c>
      <c r="X168">
        <f>ZR_rig*S0_rig+7.35*LOG10(W168+1)-0.06+LOG10(dPSI_rig/3.0)/(1+1.624E7/(W168+1)^8.46)+(4.22-0.32*pt_rig)*LOG10((Sc_psi*Cd_rig*(W168^0.75-1.132))/(215.63*J_rig*(W168^0.75-18.42/(Ec_psi/k_pci)^0.25)))</f>
        <v/>
      </c>
    </row>
    <row r="169">
      <c r="T169" t="n">
        <v>8.4</v>
      </c>
      <c r="U169">
        <f>ZR_flex*S0_flex+9.36*LOG10(T169+1)-0.20+LOG10(dPSI_flex/2.7)/(0.40+1094/(T169+1)^5.19)+2.32*LOG10(MR_psi)-8.07</f>
        <v/>
      </c>
      <c r="W169" t="n">
        <v>18.8</v>
      </c>
      <c r="X169">
        <f>ZR_rig*S0_rig+7.35*LOG10(W169+1)-0.06+LOG10(dPSI_rig/3.0)/(1+1.624E7/(W169+1)^8.46)+(4.22-0.32*pt_rig)*LOG10((Sc_psi*Cd_rig*(W169^0.75-1.132))/(215.63*J_rig*(W169^0.75-18.42/(Ec_psi/k_pci)^0.25)))</f>
        <v/>
      </c>
    </row>
    <row r="170">
      <c r="T170" t="n">
        <v>8.449999999999999</v>
      </c>
      <c r="U170">
        <f>ZR_flex*S0_flex+9.36*LOG10(T170+1)-0.20+LOG10(dPSI_flex/2.7)/(0.40+1094/(T170+1)^5.19)+2.32*LOG10(MR_psi)-8.07</f>
        <v/>
      </c>
      <c r="W170" t="n">
        <v>18.9</v>
      </c>
      <c r="X170">
        <f>ZR_rig*S0_rig+7.35*LOG10(W170+1)-0.06+LOG10(dPSI_rig/3.0)/(1+1.624E7/(W170+1)^8.46)+(4.22-0.32*pt_rig)*LOG10((Sc_psi*Cd_rig*(W170^0.75-1.132))/(215.63*J_rig*(W170^0.75-18.42/(Ec_psi/k_pci)^0.25)))</f>
        <v/>
      </c>
    </row>
    <row r="171">
      <c r="T171" t="n">
        <v>8.5</v>
      </c>
      <c r="U171">
        <f>ZR_flex*S0_flex+9.36*LOG10(T171+1)-0.20+LOG10(dPSI_flex/2.7)/(0.40+1094/(T171+1)^5.19)+2.32*LOG10(MR_psi)-8.07</f>
        <v/>
      </c>
      <c r="W171" t="n">
        <v>19</v>
      </c>
      <c r="X171">
        <f>ZR_rig*S0_rig+7.35*LOG10(W171+1)-0.06+LOG10(dPSI_rig/3.0)/(1+1.624E7/(W171+1)^8.46)+(4.22-0.32*pt_rig)*LOG10((Sc_psi*Cd_rig*(W171^0.75-1.132))/(215.63*J_rig*(W171^0.75-18.42/(Ec_psi/k_pci)^0.25)))</f>
        <v/>
      </c>
    </row>
    <row r="172">
      <c r="T172" t="n">
        <v>8.550000000000001</v>
      </c>
      <c r="U172">
        <f>ZR_flex*S0_flex+9.36*LOG10(T172+1)-0.20+LOG10(dPSI_flex/2.7)/(0.40+1094/(T172+1)^5.19)+2.32*LOG10(MR_psi)-8.07</f>
        <v/>
      </c>
      <c r="W172" t="n">
        <v>19.1</v>
      </c>
      <c r="X172">
        <f>ZR_rig*S0_rig+7.35*LOG10(W172+1)-0.06+LOG10(dPSI_rig/3.0)/(1+1.624E7/(W172+1)^8.46)+(4.22-0.32*pt_rig)*LOG10((Sc_psi*Cd_rig*(W172^0.75-1.132))/(215.63*J_rig*(W172^0.75-18.42/(Ec_psi/k_pci)^0.25)))</f>
        <v/>
      </c>
    </row>
    <row r="173">
      <c r="T173" t="n">
        <v>8.6</v>
      </c>
      <c r="U173">
        <f>ZR_flex*S0_flex+9.36*LOG10(T173+1)-0.20+LOG10(dPSI_flex/2.7)/(0.40+1094/(T173+1)^5.19)+2.32*LOG10(MR_psi)-8.07</f>
        <v/>
      </c>
      <c r="W173" t="n">
        <v>19.2</v>
      </c>
      <c r="X173">
        <f>ZR_rig*S0_rig+7.35*LOG10(W173+1)-0.06+LOG10(dPSI_rig/3.0)/(1+1.624E7/(W173+1)^8.46)+(4.22-0.32*pt_rig)*LOG10((Sc_psi*Cd_rig*(W173^0.75-1.132))/(215.63*J_rig*(W173^0.75-18.42/(Ec_psi/k_pci)^0.25)))</f>
        <v/>
      </c>
    </row>
    <row r="174">
      <c r="T174" t="n">
        <v>8.65</v>
      </c>
      <c r="U174">
        <f>ZR_flex*S0_flex+9.36*LOG10(T174+1)-0.20+LOG10(dPSI_flex/2.7)/(0.40+1094/(T174+1)^5.19)+2.32*LOG10(MR_psi)-8.07</f>
        <v/>
      </c>
      <c r="W174" t="n">
        <v>19.3</v>
      </c>
      <c r="X174">
        <f>ZR_rig*S0_rig+7.35*LOG10(W174+1)-0.06+LOG10(dPSI_rig/3.0)/(1+1.624E7/(W174+1)^8.46)+(4.22-0.32*pt_rig)*LOG10((Sc_psi*Cd_rig*(W174^0.75-1.132))/(215.63*J_rig*(W174^0.75-18.42/(Ec_psi/k_pci)^0.25)))</f>
        <v/>
      </c>
    </row>
    <row r="175">
      <c r="T175" t="n">
        <v>8.699999999999999</v>
      </c>
      <c r="U175">
        <f>ZR_flex*S0_flex+9.36*LOG10(T175+1)-0.20+LOG10(dPSI_flex/2.7)/(0.40+1094/(T175+1)^5.19)+2.32*LOG10(MR_psi)-8.07</f>
        <v/>
      </c>
      <c r="W175" t="n">
        <v>19.4</v>
      </c>
      <c r="X175">
        <f>ZR_rig*S0_rig+7.35*LOG10(W175+1)-0.06+LOG10(dPSI_rig/3.0)/(1+1.624E7/(W175+1)^8.46)+(4.22-0.32*pt_rig)*LOG10((Sc_psi*Cd_rig*(W175^0.75-1.132))/(215.63*J_rig*(W175^0.75-18.42/(Ec_psi/k_pci)^0.25)))</f>
        <v/>
      </c>
    </row>
    <row r="176">
      <c r="T176" t="n">
        <v>8.75</v>
      </c>
      <c r="U176">
        <f>ZR_flex*S0_flex+9.36*LOG10(T176+1)-0.20+LOG10(dPSI_flex/2.7)/(0.40+1094/(T176+1)^5.19)+2.32*LOG10(MR_psi)-8.07</f>
        <v/>
      </c>
      <c r="W176" t="n">
        <v>19.5</v>
      </c>
      <c r="X176">
        <f>ZR_rig*S0_rig+7.35*LOG10(W176+1)-0.06+LOG10(dPSI_rig/3.0)/(1+1.624E7/(W176+1)^8.46)+(4.22-0.32*pt_rig)*LOG10((Sc_psi*Cd_rig*(W176^0.75-1.132))/(215.63*J_rig*(W176^0.75-18.42/(Ec_psi/k_pci)^0.25)))</f>
        <v/>
      </c>
    </row>
    <row r="177">
      <c r="T177" t="n">
        <v>8.800000000000001</v>
      </c>
      <c r="U177">
        <f>ZR_flex*S0_flex+9.36*LOG10(T177+1)-0.20+LOG10(dPSI_flex/2.7)/(0.40+1094/(T177+1)^5.19)+2.32*LOG10(MR_psi)-8.07</f>
        <v/>
      </c>
      <c r="W177" t="n">
        <v>19.6</v>
      </c>
      <c r="X177">
        <f>ZR_rig*S0_rig+7.35*LOG10(W177+1)-0.06+LOG10(dPSI_rig/3.0)/(1+1.624E7/(W177+1)^8.46)+(4.22-0.32*pt_rig)*LOG10((Sc_psi*Cd_rig*(W177^0.75-1.132))/(215.63*J_rig*(W177^0.75-18.42/(Ec_psi/k_pci)^0.25)))</f>
        <v/>
      </c>
    </row>
    <row r="178">
      <c r="T178" t="n">
        <v>8.85</v>
      </c>
      <c r="U178">
        <f>ZR_flex*S0_flex+9.36*LOG10(T178+1)-0.20+LOG10(dPSI_flex/2.7)/(0.40+1094/(T178+1)^5.19)+2.32*LOG10(MR_psi)-8.07</f>
        <v/>
      </c>
      <c r="W178" t="n">
        <v>19.7</v>
      </c>
      <c r="X178">
        <f>ZR_rig*S0_rig+7.35*LOG10(W178+1)-0.06+LOG10(dPSI_rig/3.0)/(1+1.624E7/(W178+1)^8.46)+(4.22-0.32*pt_rig)*LOG10((Sc_psi*Cd_rig*(W178^0.75-1.132))/(215.63*J_rig*(W178^0.75-18.42/(Ec_psi/k_pci)^0.25)))</f>
        <v/>
      </c>
    </row>
    <row r="179">
      <c r="T179" t="n">
        <v>8.9</v>
      </c>
      <c r="U179">
        <f>ZR_flex*S0_flex+9.36*LOG10(T179+1)-0.20+LOG10(dPSI_flex/2.7)/(0.40+1094/(T179+1)^5.19)+2.32*LOG10(MR_psi)-8.07</f>
        <v/>
      </c>
      <c r="W179" t="n">
        <v>19.8</v>
      </c>
      <c r="X179">
        <f>ZR_rig*S0_rig+7.35*LOG10(W179+1)-0.06+LOG10(dPSI_rig/3.0)/(1+1.624E7/(W179+1)^8.46)+(4.22-0.32*pt_rig)*LOG10((Sc_psi*Cd_rig*(W179^0.75-1.132))/(215.63*J_rig*(W179^0.75-18.42/(Ec_psi/k_pci)^0.25)))</f>
        <v/>
      </c>
    </row>
    <row r="180">
      <c r="T180" t="n">
        <v>8.949999999999999</v>
      </c>
      <c r="U180">
        <f>ZR_flex*S0_flex+9.36*LOG10(T180+1)-0.20+LOG10(dPSI_flex/2.7)/(0.40+1094/(T180+1)^5.19)+2.32*LOG10(MR_psi)-8.07</f>
        <v/>
      </c>
      <c r="W180" t="n">
        <v>19.9</v>
      </c>
      <c r="X180">
        <f>ZR_rig*S0_rig+7.35*LOG10(W180+1)-0.06+LOG10(dPSI_rig/3.0)/(1+1.624E7/(W180+1)^8.46)+(4.22-0.32*pt_rig)*LOG10((Sc_psi*Cd_rig*(W180^0.75-1.132))/(215.63*J_rig*(W180^0.75-18.42/(Ec_psi/k_pci)^0.25)))</f>
        <v/>
      </c>
    </row>
    <row r="181">
      <c r="T181" t="n">
        <v>9</v>
      </c>
      <c r="U181">
        <f>ZR_flex*S0_flex+9.36*LOG10(T181+1)-0.20+LOG10(dPSI_flex/2.7)/(0.40+1094/(T181+1)^5.19)+2.32*LOG10(MR_psi)-8.07</f>
        <v/>
      </c>
      <c r="W181" t="n">
        <v>20</v>
      </c>
      <c r="X181">
        <f>ZR_rig*S0_rig+7.35*LOG10(W181+1)-0.06+LOG10(dPSI_rig/3.0)/(1+1.624E7/(W181+1)^8.46)+(4.22-0.32*pt_rig)*LOG10((Sc_psi*Cd_rig*(W181^0.75-1.132))/(215.63*J_rig*(W181^0.75-18.42/(Ec_psi/k_pci)^0.25)))</f>
        <v/>
      </c>
    </row>
    <row r="182">
      <c r="T182" t="n">
        <v>9.050000000000001</v>
      </c>
      <c r="U182">
        <f>ZR_flex*S0_flex+9.36*LOG10(T182+1)-0.20+LOG10(dPSI_flex/2.7)/(0.40+1094/(T182+1)^5.19)+2.32*LOG10(MR_psi)-8.07</f>
        <v/>
      </c>
      <c r="W182" t="n">
        <v>20.1</v>
      </c>
      <c r="X182">
        <f>ZR_rig*S0_rig+7.35*LOG10(W182+1)-0.06+LOG10(dPSI_rig/3.0)/(1+1.624E7/(W182+1)^8.46)+(4.22-0.32*pt_rig)*LOG10((Sc_psi*Cd_rig*(W182^0.75-1.132))/(215.63*J_rig*(W182^0.75-18.42/(Ec_psi/k_pci)^0.25)))</f>
        <v/>
      </c>
    </row>
    <row r="183">
      <c r="T183" t="n">
        <v>9.1</v>
      </c>
      <c r="U183">
        <f>ZR_flex*S0_flex+9.36*LOG10(T183+1)-0.20+LOG10(dPSI_flex/2.7)/(0.40+1094/(T183+1)^5.19)+2.32*LOG10(MR_psi)-8.07</f>
        <v/>
      </c>
      <c r="W183" t="n">
        <v>20.2</v>
      </c>
      <c r="X183">
        <f>ZR_rig*S0_rig+7.35*LOG10(W183+1)-0.06+LOG10(dPSI_rig/3.0)/(1+1.624E7/(W183+1)^8.46)+(4.22-0.32*pt_rig)*LOG10((Sc_psi*Cd_rig*(W183^0.75-1.132))/(215.63*J_rig*(W183^0.75-18.42/(Ec_psi/k_pci)^0.25)))</f>
        <v/>
      </c>
    </row>
    <row r="184">
      <c r="T184" t="n">
        <v>9.15</v>
      </c>
      <c r="U184">
        <f>ZR_flex*S0_flex+9.36*LOG10(T184+1)-0.20+LOG10(dPSI_flex/2.7)/(0.40+1094/(T184+1)^5.19)+2.32*LOG10(MR_psi)-8.07</f>
        <v/>
      </c>
      <c r="W184" t="n">
        <v>20.3</v>
      </c>
      <c r="X184">
        <f>ZR_rig*S0_rig+7.35*LOG10(W184+1)-0.06+LOG10(dPSI_rig/3.0)/(1+1.624E7/(W184+1)^8.46)+(4.22-0.32*pt_rig)*LOG10((Sc_psi*Cd_rig*(W184^0.75-1.132))/(215.63*J_rig*(W184^0.75-18.42/(Ec_psi/k_pci)^0.25)))</f>
        <v/>
      </c>
    </row>
    <row r="185">
      <c r="T185" t="n">
        <v>9.199999999999999</v>
      </c>
      <c r="U185">
        <f>ZR_flex*S0_flex+9.36*LOG10(T185+1)-0.20+LOG10(dPSI_flex/2.7)/(0.40+1094/(T185+1)^5.19)+2.32*LOG10(MR_psi)-8.07</f>
        <v/>
      </c>
      <c r="W185" t="n">
        <v>20.4</v>
      </c>
      <c r="X185">
        <f>ZR_rig*S0_rig+7.35*LOG10(W185+1)-0.06+LOG10(dPSI_rig/3.0)/(1+1.624E7/(W185+1)^8.46)+(4.22-0.32*pt_rig)*LOG10((Sc_psi*Cd_rig*(W185^0.75-1.132))/(215.63*J_rig*(W185^0.75-18.42/(Ec_psi/k_pci)^0.25)))</f>
        <v/>
      </c>
    </row>
    <row r="186">
      <c r="T186" t="n">
        <v>9.25</v>
      </c>
      <c r="U186">
        <f>ZR_flex*S0_flex+9.36*LOG10(T186+1)-0.20+LOG10(dPSI_flex/2.7)/(0.40+1094/(T186+1)^5.19)+2.32*LOG10(MR_psi)-8.07</f>
        <v/>
      </c>
      <c r="W186" t="n">
        <v>20.5</v>
      </c>
      <c r="X186">
        <f>ZR_rig*S0_rig+7.35*LOG10(W186+1)-0.06+LOG10(dPSI_rig/3.0)/(1+1.624E7/(W186+1)^8.46)+(4.22-0.32*pt_rig)*LOG10((Sc_psi*Cd_rig*(W186^0.75-1.132))/(215.63*J_rig*(W186^0.75-18.42/(Ec_psi/k_pci)^0.25)))</f>
        <v/>
      </c>
    </row>
    <row r="187">
      <c r="T187" t="n">
        <v>9.300000000000001</v>
      </c>
      <c r="U187">
        <f>ZR_flex*S0_flex+9.36*LOG10(T187+1)-0.20+LOG10(dPSI_flex/2.7)/(0.40+1094/(T187+1)^5.19)+2.32*LOG10(MR_psi)-8.07</f>
        <v/>
      </c>
      <c r="W187" t="n">
        <v>20.6</v>
      </c>
      <c r="X187">
        <f>ZR_rig*S0_rig+7.35*LOG10(W187+1)-0.06+LOG10(dPSI_rig/3.0)/(1+1.624E7/(W187+1)^8.46)+(4.22-0.32*pt_rig)*LOG10((Sc_psi*Cd_rig*(W187^0.75-1.132))/(215.63*J_rig*(W187^0.75-18.42/(Ec_psi/k_pci)^0.25)))</f>
        <v/>
      </c>
    </row>
    <row r="188">
      <c r="T188" t="n">
        <v>9.35</v>
      </c>
      <c r="U188">
        <f>ZR_flex*S0_flex+9.36*LOG10(T188+1)-0.20+LOG10(dPSI_flex/2.7)/(0.40+1094/(T188+1)^5.19)+2.32*LOG10(MR_psi)-8.07</f>
        <v/>
      </c>
      <c r="W188" t="n">
        <v>20.7</v>
      </c>
      <c r="X188">
        <f>ZR_rig*S0_rig+7.35*LOG10(W188+1)-0.06+LOG10(dPSI_rig/3.0)/(1+1.624E7/(W188+1)^8.46)+(4.22-0.32*pt_rig)*LOG10((Sc_psi*Cd_rig*(W188^0.75-1.132))/(215.63*J_rig*(W188^0.75-18.42/(Ec_psi/k_pci)^0.25)))</f>
        <v/>
      </c>
    </row>
    <row r="189">
      <c r="T189" t="n">
        <v>9.4</v>
      </c>
      <c r="U189">
        <f>ZR_flex*S0_flex+9.36*LOG10(T189+1)-0.20+LOG10(dPSI_flex/2.7)/(0.40+1094/(T189+1)^5.19)+2.32*LOG10(MR_psi)-8.07</f>
        <v/>
      </c>
      <c r="W189" t="n">
        <v>20.8</v>
      </c>
      <c r="X189">
        <f>ZR_rig*S0_rig+7.35*LOG10(W189+1)-0.06+LOG10(dPSI_rig/3.0)/(1+1.624E7/(W189+1)^8.46)+(4.22-0.32*pt_rig)*LOG10((Sc_psi*Cd_rig*(W189^0.75-1.132))/(215.63*J_rig*(W189^0.75-18.42/(Ec_psi/k_pci)^0.25)))</f>
        <v/>
      </c>
    </row>
    <row r="190">
      <c r="T190" t="n">
        <v>9.449999999999999</v>
      </c>
      <c r="U190">
        <f>ZR_flex*S0_flex+9.36*LOG10(T190+1)-0.20+LOG10(dPSI_flex/2.7)/(0.40+1094/(T190+1)^5.19)+2.32*LOG10(MR_psi)-8.07</f>
        <v/>
      </c>
      <c r="W190" t="n">
        <v>20.9</v>
      </c>
      <c r="X190">
        <f>ZR_rig*S0_rig+7.35*LOG10(W190+1)-0.06+LOG10(dPSI_rig/3.0)/(1+1.624E7/(W190+1)^8.46)+(4.22-0.32*pt_rig)*LOG10((Sc_psi*Cd_rig*(W190^0.75-1.132))/(215.63*J_rig*(W190^0.75-18.42/(Ec_psi/k_pci)^0.25)))</f>
        <v/>
      </c>
    </row>
    <row r="191">
      <c r="T191" t="n">
        <v>9.5</v>
      </c>
      <c r="U191">
        <f>ZR_flex*S0_flex+9.36*LOG10(T191+1)-0.20+LOG10(dPSI_flex/2.7)/(0.40+1094/(T191+1)^5.19)+2.32*LOG10(MR_psi)-8.07</f>
        <v/>
      </c>
      <c r="W191" t="n">
        <v>21</v>
      </c>
      <c r="X191">
        <f>ZR_rig*S0_rig+7.35*LOG10(W191+1)-0.06+LOG10(dPSI_rig/3.0)/(1+1.624E7/(W191+1)^8.46)+(4.22-0.32*pt_rig)*LOG10((Sc_psi*Cd_rig*(W191^0.75-1.132))/(215.63*J_rig*(W191^0.75-18.42/(Ec_psi/k_pci)^0.25)))</f>
        <v/>
      </c>
    </row>
    <row r="192">
      <c r="T192" t="n">
        <v>9.550000000000001</v>
      </c>
      <c r="U192">
        <f>ZR_flex*S0_flex+9.36*LOG10(T192+1)-0.20+LOG10(dPSI_flex/2.7)/(0.40+1094/(T192+1)^5.19)+2.32*LOG10(MR_psi)-8.07</f>
        <v/>
      </c>
      <c r="W192" t="n">
        <v>21.1</v>
      </c>
      <c r="X192">
        <f>ZR_rig*S0_rig+7.35*LOG10(W192+1)-0.06+LOG10(dPSI_rig/3.0)/(1+1.624E7/(W192+1)^8.46)+(4.22-0.32*pt_rig)*LOG10((Sc_psi*Cd_rig*(W192^0.75-1.132))/(215.63*J_rig*(W192^0.75-18.42/(Ec_psi/k_pci)^0.25)))</f>
        <v/>
      </c>
    </row>
    <row r="193">
      <c r="T193" t="n">
        <v>9.6</v>
      </c>
      <c r="U193">
        <f>ZR_flex*S0_flex+9.36*LOG10(T193+1)-0.20+LOG10(dPSI_flex/2.7)/(0.40+1094/(T193+1)^5.19)+2.32*LOG10(MR_psi)-8.07</f>
        <v/>
      </c>
      <c r="W193" t="n">
        <v>21.2</v>
      </c>
      <c r="X193">
        <f>ZR_rig*S0_rig+7.35*LOG10(W193+1)-0.06+LOG10(dPSI_rig/3.0)/(1+1.624E7/(W193+1)^8.46)+(4.22-0.32*pt_rig)*LOG10((Sc_psi*Cd_rig*(W193^0.75-1.132))/(215.63*J_rig*(W193^0.75-18.42/(Ec_psi/k_pci)^0.25)))</f>
        <v/>
      </c>
    </row>
    <row r="194">
      <c r="T194" t="n">
        <v>9.65</v>
      </c>
      <c r="U194">
        <f>ZR_flex*S0_flex+9.36*LOG10(T194+1)-0.20+LOG10(dPSI_flex/2.7)/(0.40+1094/(T194+1)^5.19)+2.32*LOG10(MR_psi)-8.07</f>
        <v/>
      </c>
      <c r="W194" t="n">
        <v>21.3</v>
      </c>
      <c r="X194">
        <f>ZR_rig*S0_rig+7.35*LOG10(W194+1)-0.06+LOG10(dPSI_rig/3.0)/(1+1.624E7/(W194+1)^8.46)+(4.22-0.32*pt_rig)*LOG10((Sc_psi*Cd_rig*(W194^0.75-1.132))/(215.63*J_rig*(W194^0.75-18.42/(Ec_psi/k_pci)^0.25)))</f>
        <v/>
      </c>
    </row>
    <row r="195">
      <c r="T195" t="n">
        <v>9.699999999999999</v>
      </c>
      <c r="U195">
        <f>ZR_flex*S0_flex+9.36*LOG10(T195+1)-0.20+LOG10(dPSI_flex/2.7)/(0.40+1094/(T195+1)^5.19)+2.32*LOG10(MR_psi)-8.07</f>
        <v/>
      </c>
      <c r="W195" t="n">
        <v>21.4</v>
      </c>
      <c r="X195">
        <f>ZR_rig*S0_rig+7.35*LOG10(W195+1)-0.06+LOG10(dPSI_rig/3.0)/(1+1.624E7/(W195+1)^8.46)+(4.22-0.32*pt_rig)*LOG10((Sc_psi*Cd_rig*(W195^0.75-1.132))/(215.63*J_rig*(W195^0.75-18.42/(Ec_psi/k_pci)^0.25)))</f>
        <v/>
      </c>
    </row>
    <row r="196">
      <c r="T196" t="n">
        <v>9.75</v>
      </c>
      <c r="U196">
        <f>ZR_flex*S0_flex+9.36*LOG10(T196+1)-0.20+LOG10(dPSI_flex/2.7)/(0.40+1094/(T196+1)^5.19)+2.32*LOG10(MR_psi)-8.07</f>
        <v/>
      </c>
      <c r="W196" t="n">
        <v>21.5</v>
      </c>
      <c r="X196">
        <f>ZR_rig*S0_rig+7.35*LOG10(W196+1)-0.06+LOG10(dPSI_rig/3.0)/(1+1.624E7/(W196+1)^8.46)+(4.22-0.32*pt_rig)*LOG10((Sc_psi*Cd_rig*(W196^0.75-1.132))/(215.63*J_rig*(W196^0.75-18.42/(Ec_psi/k_pci)^0.25)))</f>
        <v/>
      </c>
    </row>
    <row r="197">
      <c r="T197" t="n">
        <v>9.800000000000001</v>
      </c>
      <c r="U197">
        <f>ZR_flex*S0_flex+9.36*LOG10(T197+1)-0.20+LOG10(dPSI_flex/2.7)/(0.40+1094/(T197+1)^5.19)+2.32*LOG10(MR_psi)-8.07</f>
        <v/>
      </c>
      <c r="W197" t="n">
        <v>21.6</v>
      </c>
      <c r="X197">
        <f>ZR_rig*S0_rig+7.35*LOG10(W197+1)-0.06+LOG10(dPSI_rig/3.0)/(1+1.624E7/(W197+1)^8.46)+(4.22-0.32*pt_rig)*LOG10((Sc_psi*Cd_rig*(W197^0.75-1.132))/(215.63*J_rig*(W197^0.75-18.42/(Ec_psi/k_pci)^0.25)))</f>
        <v/>
      </c>
    </row>
    <row r="198">
      <c r="T198" t="n">
        <v>9.85</v>
      </c>
      <c r="U198">
        <f>ZR_flex*S0_flex+9.36*LOG10(T198+1)-0.20+LOG10(dPSI_flex/2.7)/(0.40+1094/(T198+1)^5.19)+2.32*LOG10(MR_psi)-8.07</f>
        <v/>
      </c>
      <c r="W198" t="n">
        <v>21.7</v>
      </c>
      <c r="X198">
        <f>ZR_rig*S0_rig+7.35*LOG10(W198+1)-0.06+LOG10(dPSI_rig/3.0)/(1+1.624E7/(W198+1)^8.46)+(4.22-0.32*pt_rig)*LOG10((Sc_psi*Cd_rig*(W198^0.75-1.132))/(215.63*J_rig*(W198^0.75-18.42/(Ec_psi/k_pci)^0.25)))</f>
        <v/>
      </c>
    </row>
    <row r="199">
      <c r="T199" t="n">
        <v>9.9</v>
      </c>
      <c r="U199">
        <f>ZR_flex*S0_flex+9.36*LOG10(T199+1)-0.20+LOG10(dPSI_flex/2.7)/(0.40+1094/(T199+1)^5.19)+2.32*LOG10(MR_psi)-8.07</f>
        <v/>
      </c>
      <c r="W199" t="n">
        <v>21.8</v>
      </c>
      <c r="X199">
        <f>ZR_rig*S0_rig+7.35*LOG10(W199+1)-0.06+LOG10(dPSI_rig/3.0)/(1+1.624E7/(W199+1)^8.46)+(4.22-0.32*pt_rig)*LOG10((Sc_psi*Cd_rig*(W199^0.75-1.132))/(215.63*J_rig*(W199^0.75-18.42/(Ec_psi/k_pci)^0.25)))</f>
        <v/>
      </c>
    </row>
    <row r="200">
      <c r="T200" t="n">
        <v>9.949999999999999</v>
      </c>
      <c r="U200">
        <f>ZR_flex*S0_flex+9.36*LOG10(T200+1)-0.20+LOG10(dPSI_flex/2.7)/(0.40+1094/(T200+1)^5.19)+2.32*LOG10(MR_psi)-8.07</f>
        <v/>
      </c>
      <c r="W200" t="n">
        <v>21.9</v>
      </c>
      <c r="X200">
        <f>ZR_rig*S0_rig+7.35*LOG10(W200+1)-0.06+LOG10(dPSI_rig/3.0)/(1+1.624E7/(W200+1)^8.46)+(4.22-0.32*pt_rig)*LOG10((Sc_psi*Cd_rig*(W200^0.75-1.132))/(215.63*J_rig*(W200^0.75-18.42/(Ec_psi/k_pci)^0.25)))</f>
        <v/>
      </c>
    </row>
    <row r="201">
      <c r="T201" t="n">
        <v>10</v>
      </c>
      <c r="U201">
        <f>ZR_flex*S0_flex+9.36*LOG10(T201+1)-0.20+LOG10(dPSI_flex/2.7)/(0.40+1094/(T201+1)^5.19)+2.32*LOG10(MR_psi)-8.07</f>
        <v/>
      </c>
      <c r="W201" t="n">
        <v>22</v>
      </c>
      <c r="X201">
        <f>ZR_rig*S0_rig+7.35*LOG10(W201+1)-0.06+LOG10(dPSI_rig/3.0)/(1+1.624E7/(W201+1)^8.46)+(4.22-0.32*pt_rig)*LOG10((Sc_psi*Cd_rig*(W201^0.75-1.132))/(215.63*J_rig*(W201^0.75-18.42/(Ec_psi/k_pci)^0.25)))</f>
        <v/>
      </c>
    </row>
    <row r="202">
      <c r="T202" t="n">
        <v>10.05</v>
      </c>
      <c r="U202">
        <f>ZR_flex*S0_flex+9.36*LOG10(T202+1)-0.20+LOG10(dPSI_flex/2.7)/(0.40+1094/(T202+1)^5.19)+2.32*LOG10(MR_psi)-8.07</f>
        <v/>
      </c>
      <c r="W202" t="n">
        <v>22.1</v>
      </c>
      <c r="X202">
        <f>ZR_rig*S0_rig+7.35*LOG10(W202+1)-0.06+LOG10(dPSI_rig/3.0)/(1+1.624E7/(W202+1)^8.46)+(4.22-0.32*pt_rig)*LOG10((Sc_psi*Cd_rig*(W202^0.75-1.132))/(215.63*J_rig*(W202^0.75-18.42/(Ec_psi/k_pci)^0.25)))</f>
        <v/>
      </c>
    </row>
    <row r="203">
      <c r="T203" t="n">
        <v>10.1</v>
      </c>
      <c r="U203">
        <f>ZR_flex*S0_flex+9.36*LOG10(T203+1)-0.20+LOG10(dPSI_flex/2.7)/(0.40+1094/(T203+1)^5.19)+2.32*LOG10(MR_psi)-8.07</f>
        <v/>
      </c>
      <c r="W203" t="n">
        <v>22.2</v>
      </c>
      <c r="X203">
        <f>ZR_rig*S0_rig+7.35*LOG10(W203+1)-0.06+LOG10(dPSI_rig/3.0)/(1+1.624E7/(W203+1)^8.46)+(4.22-0.32*pt_rig)*LOG10((Sc_psi*Cd_rig*(W203^0.75-1.132))/(215.63*J_rig*(W203^0.75-18.42/(Ec_psi/k_pci)^0.25)))</f>
        <v/>
      </c>
    </row>
    <row r="204">
      <c r="T204" t="n">
        <v>10.15</v>
      </c>
      <c r="U204">
        <f>ZR_flex*S0_flex+9.36*LOG10(T204+1)-0.20+LOG10(dPSI_flex/2.7)/(0.40+1094/(T204+1)^5.19)+2.32*LOG10(MR_psi)-8.07</f>
        <v/>
      </c>
      <c r="W204" t="n">
        <v>22.3</v>
      </c>
      <c r="X204">
        <f>ZR_rig*S0_rig+7.35*LOG10(W204+1)-0.06+LOG10(dPSI_rig/3.0)/(1+1.624E7/(W204+1)^8.46)+(4.22-0.32*pt_rig)*LOG10((Sc_psi*Cd_rig*(W204^0.75-1.132))/(215.63*J_rig*(W204^0.75-18.42/(Ec_psi/k_pci)^0.25)))</f>
        <v/>
      </c>
    </row>
    <row r="205">
      <c r="T205" t="n">
        <v>10.2</v>
      </c>
      <c r="U205">
        <f>ZR_flex*S0_flex+9.36*LOG10(T205+1)-0.20+LOG10(dPSI_flex/2.7)/(0.40+1094/(T205+1)^5.19)+2.32*LOG10(MR_psi)-8.07</f>
        <v/>
      </c>
      <c r="W205" t="n">
        <v>22.4</v>
      </c>
      <c r="X205">
        <f>ZR_rig*S0_rig+7.35*LOG10(W205+1)-0.06+LOG10(dPSI_rig/3.0)/(1+1.624E7/(W205+1)^8.46)+(4.22-0.32*pt_rig)*LOG10((Sc_psi*Cd_rig*(W205^0.75-1.132))/(215.63*J_rig*(W205^0.75-18.42/(Ec_psi/k_pci)^0.25)))</f>
        <v/>
      </c>
    </row>
    <row r="206">
      <c r="T206" t="n">
        <v>10.25</v>
      </c>
      <c r="U206">
        <f>ZR_flex*S0_flex+9.36*LOG10(T206+1)-0.20+LOG10(dPSI_flex/2.7)/(0.40+1094/(T206+1)^5.19)+2.32*LOG10(MR_psi)-8.07</f>
        <v/>
      </c>
      <c r="W206" t="n">
        <v>22.5</v>
      </c>
      <c r="X206">
        <f>ZR_rig*S0_rig+7.35*LOG10(W206+1)-0.06+LOG10(dPSI_rig/3.0)/(1+1.624E7/(W206+1)^8.46)+(4.22-0.32*pt_rig)*LOG10((Sc_psi*Cd_rig*(W206^0.75-1.132))/(215.63*J_rig*(W206^0.75-18.42/(Ec_psi/k_pci)^0.25)))</f>
        <v/>
      </c>
    </row>
    <row r="207">
      <c r="T207" t="n">
        <v>10.3</v>
      </c>
      <c r="U207">
        <f>ZR_flex*S0_flex+9.36*LOG10(T207+1)-0.20+LOG10(dPSI_flex/2.7)/(0.40+1094/(T207+1)^5.19)+2.32*LOG10(MR_psi)-8.07</f>
        <v/>
      </c>
      <c r="W207" t="n">
        <v>22.6</v>
      </c>
      <c r="X207">
        <f>ZR_rig*S0_rig+7.35*LOG10(W207+1)-0.06+LOG10(dPSI_rig/3.0)/(1+1.624E7/(W207+1)^8.46)+(4.22-0.32*pt_rig)*LOG10((Sc_psi*Cd_rig*(W207^0.75-1.132))/(215.63*J_rig*(W207^0.75-18.42/(Ec_psi/k_pci)^0.25)))</f>
        <v/>
      </c>
    </row>
    <row r="208">
      <c r="T208" t="n">
        <v>10.35</v>
      </c>
      <c r="U208">
        <f>ZR_flex*S0_flex+9.36*LOG10(T208+1)-0.20+LOG10(dPSI_flex/2.7)/(0.40+1094/(T208+1)^5.19)+2.32*LOG10(MR_psi)-8.07</f>
        <v/>
      </c>
      <c r="W208" t="n">
        <v>22.7</v>
      </c>
      <c r="X208">
        <f>ZR_rig*S0_rig+7.35*LOG10(W208+1)-0.06+LOG10(dPSI_rig/3.0)/(1+1.624E7/(W208+1)^8.46)+(4.22-0.32*pt_rig)*LOG10((Sc_psi*Cd_rig*(W208^0.75-1.132))/(215.63*J_rig*(W208^0.75-18.42/(Ec_psi/k_pci)^0.25)))</f>
        <v/>
      </c>
    </row>
    <row r="209">
      <c r="T209" t="n">
        <v>10.4</v>
      </c>
      <c r="U209">
        <f>ZR_flex*S0_flex+9.36*LOG10(T209+1)-0.20+LOG10(dPSI_flex/2.7)/(0.40+1094/(T209+1)^5.19)+2.32*LOG10(MR_psi)-8.07</f>
        <v/>
      </c>
      <c r="W209" t="n">
        <v>22.8</v>
      </c>
      <c r="X209">
        <f>ZR_rig*S0_rig+7.35*LOG10(W209+1)-0.06+LOG10(dPSI_rig/3.0)/(1+1.624E7/(W209+1)^8.46)+(4.22-0.32*pt_rig)*LOG10((Sc_psi*Cd_rig*(W209^0.75-1.132))/(215.63*J_rig*(W209^0.75-18.42/(Ec_psi/k_pci)^0.25)))</f>
        <v/>
      </c>
    </row>
    <row r="210">
      <c r="T210" t="n">
        <v>10.45</v>
      </c>
      <c r="U210">
        <f>ZR_flex*S0_flex+9.36*LOG10(T210+1)-0.20+LOG10(dPSI_flex/2.7)/(0.40+1094/(T210+1)^5.19)+2.32*LOG10(MR_psi)-8.07</f>
        <v/>
      </c>
      <c r="W210" t="n">
        <v>22.9</v>
      </c>
      <c r="X210">
        <f>ZR_rig*S0_rig+7.35*LOG10(W210+1)-0.06+LOG10(dPSI_rig/3.0)/(1+1.624E7/(W210+1)^8.46)+(4.22-0.32*pt_rig)*LOG10((Sc_psi*Cd_rig*(W210^0.75-1.132))/(215.63*J_rig*(W210^0.75-18.42/(Ec_psi/k_pci)^0.25)))</f>
        <v/>
      </c>
    </row>
    <row r="211">
      <c r="T211" t="n">
        <v>10.5</v>
      </c>
      <c r="U211">
        <f>ZR_flex*S0_flex+9.36*LOG10(T211+1)-0.20+LOG10(dPSI_flex/2.7)/(0.40+1094/(T211+1)^5.19)+2.32*LOG10(MR_psi)-8.07</f>
        <v/>
      </c>
      <c r="W211" t="n">
        <v>23</v>
      </c>
      <c r="X211">
        <f>ZR_rig*S0_rig+7.35*LOG10(W211+1)-0.06+LOG10(dPSI_rig/3.0)/(1+1.624E7/(W211+1)^8.46)+(4.22-0.32*pt_rig)*LOG10((Sc_psi*Cd_rig*(W211^0.75-1.132))/(215.63*J_rig*(W211^0.75-18.42/(Ec_psi/k_pci)^0.25)))</f>
        <v/>
      </c>
    </row>
    <row r="212">
      <c r="T212" t="n">
        <v>10.55</v>
      </c>
      <c r="U212">
        <f>ZR_flex*S0_flex+9.36*LOG10(T212+1)-0.20+LOG10(dPSI_flex/2.7)/(0.40+1094/(T212+1)^5.19)+2.32*LOG10(MR_psi)-8.07</f>
        <v/>
      </c>
      <c r="W212" t="n">
        <v>23.1</v>
      </c>
      <c r="X212">
        <f>ZR_rig*S0_rig+7.35*LOG10(W212+1)-0.06+LOG10(dPSI_rig/3.0)/(1+1.624E7/(W212+1)^8.46)+(4.22-0.32*pt_rig)*LOG10((Sc_psi*Cd_rig*(W212^0.75-1.132))/(215.63*J_rig*(W212^0.75-18.42/(Ec_psi/k_pci)^0.25)))</f>
        <v/>
      </c>
    </row>
    <row r="213">
      <c r="T213" t="n">
        <v>10.6</v>
      </c>
      <c r="U213">
        <f>ZR_flex*S0_flex+9.36*LOG10(T213+1)-0.20+LOG10(dPSI_flex/2.7)/(0.40+1094/(T213+1)^5.19)+2.32*LOG10(MR_psi)-8.07</f>
        <v/>
      </c>
      <c r="W213" t="n">
        <v>23.2</v>
      </c>
      <c r="X213">
        <f>ZR_rig*S0_rig+7.35*LOG10(W213+1)-0.06+LOG10(dPSI_rig/3.0)/(1+1.624E7/(W213+1)^8.46)+(4.22-0.32*pt_rig)*LOG10((Sc_psi*Cd_rig*(W213^0.75-1.132))/(215.63*J_rig*(W213^0.75-18.42/(Ec_psi/k_pci)^0.25)))</f>
        <v/>
      </c>
    </row>
    <row r="214">
      <c r="T214" t="n">
        <v>10.65</v>
      </c>
      <c r="U214">
        <f>ZR_flex*S0_flex+9.36*LOG10(T214+1)-0.20+LOG10(dPSI_flex/2.7)/(0.40+1094/(T214+1)^5.19)+2.32*LOG10(MR_psi)-8.07</f>
        <v/>
      </c>
      <c r="W214" t="n">
        <v>23.3</v>
      </c>
      <c r="X214">
        <f>ZR_rig*S0_rig+7.35*LOG10(W214+1)-0.06+LOG10(dPSI_rig/3.0)/(1+1.624E7/(W214+1)^8.46)+(4.22-0.32*pt_rig)*LOG10((Sc_psi*Cd_rig*(W214^0.75-1.132))/(215.63*J_rig*(W214^0.75-18.42/(Ec_psi/k_pci)^0.25)))</f>
        <v/>
      </c>
    </row>
    <row r="215">
      <c r="T215" t="n">
        <v>10.7</v>
      </c>
      <c r="U215">
        <f>ZR_flex*S0_flex+9.36*LOG10(T215+1)-0.20+LOG10(dPSI_flex/2.7)/(0.40+1094/(T215+1)^5.19)+2.32*LOG10(MR_psi)-8.07</f>
        <v/>
      </c>
      <c r="W215" t="n">
        <v>23.4</v>
      </c>
      <c r="X215">
        <f>ZR_rig*S0_rig+7.35*LOG10(W215+1)-0.06+LOG10(dPSI_rig/3.0)/(1+1.624E7/(W215+1)^8.46)+(4.22-0.32*pt_rig)*LOG10((Sc_psi*Cd_rig*(W215^0.75-1.132))/(215.63*J_rig*(W215^0.75-18.42/(Ec_psi/k_pci)^0.25)))</f>
        <v/>
      </c>
    </row>
    <row r="216">
      <c r="T216" t="n">
        <v>10.75</v>
      </c>
      <c r="U216">
        <f>ZR_flex*S0_flex+9.36*LOG10(T216+1)-0.20+LOG10(dPSI_flex/2.7)/(0.40+1094/(T216+1)^5.19)+2.32*LOG10(MR_psi)-8.07</f>
        <v/>
      </c>
      <c r="W216" t="n">
        <v>23.5</v>
      </c>
      <c r="X216">
        <f>ZR_rig*S0_rig+7.35*LOG10(W216+1)-0.06+LOG10(dPSI_rig/3.0)/(1+1.624E7/(W216+1)^8.46)+(4.22-0.32*pt_rig)*LOG10((Sc_psi*Cd_rig*(W216^0.75-1.132))/(215.63*J_rig*(W216^0.75-18.42/(Ec_psi/k_pci)^0.25)))</f>
        <v/>
      </c>
    </row>
    <row r="217">
      <c r="T217" t="n">
        <v>10.8</v>
      </c>
      <c r="U217">
        <f>ZR_flex*S0_flex+9.36*LOG10(T217+1)-0.20+LOG10(dPSI_flex/2.7)/(0.40+1094/(T217+1)^5.19)+2.32*LOG10(MR_psi)-8.07</f>
        <v/>
      </c>
      <c r="W217" t="n">
        <v>23.6</v>
      </c>
      <c r="X217">
        <f>ZR_rig*S0_rig+7.35*LOG10(W217+1)-0.06+LOG10(dPSI_rig/3.0)/(1+1.624E7/(W217+1)^8.46)+(4.22-0.32*pt_rig)*LOG10((Sc_psi*Cd_rig*(W217^0.75-1.132))/(215.63*J_rig*(W217^0.75-18.42/(Ec_psi/k_pci)^0.25)))</f>
        <v/>
      </c>
    </row>
    <row r="218">
      <c r="T218" t="n">
        <v>10.85</v>
      </c>
      <c r="U218">
        <f>ZR_flex*S0_flex+9.36*LOG10(T218+1)-0.20+LOG10(dPSI_flex/2.7)/(0.40+1094/(T218+1)^5.19)+2.32*LOG10(MR_psi)-8.07</f>
        <v/>
      </c>
      <c r="W218" t="n">
        <v>23.7</v>
      </c>
      <c r="X218">
        <f>ZR_rig*S0_rig+7.35*LOG10(W218+1)-0.06+LOG10(dPSI_rig/3.0)/(1+1.624E7/(W218+1)^8.46)+(4.22-0.32*pt_rig)*LOG10((Sc_psi*Cd_rig*(W218^0.75-1.132))/(215.63*J_rig*(W218^0.75-18.42/(Ec_psi/k_pci)^0.25)))</f>
        <v/>
      </c>
    </row>
    <row r="219">
      <c r="T219" t="n">
        <v>10.9</v>
      </c>
      <c r="U219">
        <f>ZR_flex*S0_flex+9.36*LOG10(T219+1)-0.20+LOG10(dPSI_flex/2.7)/(0.40+1094/(T219+1)^5.19)+2.32*LOG10(MR_psi)-8.07</f>
        <v/>
      </c>
      <c r="W219" t="n">
        <v>23.8</v>
      </c>
      <c r="X219">
        <f>ZR_rig*S0_rig+7.35*LOG10(W219+1)-0.06+LOG10(dPSI_rig/3.0)/(1+1.624E7/(W219+1)^8.46)+(4.22-0.32*pt_rig)*LOG10((Sc_psi*Cd_rig*(W219^0.75-1.132))/(215.63*J_rig*(W219^0.75-18.42/(Ec_psi/k_pci)^0.25)))</f>
        <v/>
      </c>
    </row>
    <row r="220">
      <c r="T220" t="n">
        <v>10.95</v>
      </c>
      <c r="U220">
        <f>ZR_flex*S0_flex+9.36*LOG10(T220+1)-0.20+LOG10(dPSI_flex/2.7)/(0.40+1094/(T220+1)^5.19)+2.32*LOG10(MR_psi)-8.07</f>
        <v/>
      </c>
      <c r="W220" t="n">
        <v>23.9</v>
      </c>
      <c r="X220">
        <f>ZR_rig*S0_rig+7.35*LOG10(W220+1)-0.06+LOG10(dPSI_rig/3.0)/(1+1.624E7/(W220+1)^8.46)+(4.22-0.32*pt_rig)*LOG10((Sc_psi*Cd_rig*(W220^0.75-1.132))/(215.63*J_rig*(W220^0.75-18.42/(Ec_psi/k_pci)^0.25)))</f>
        <v/>
      </c>
    </row>
    <row r="221">
      <c r="T221" t="n">
        <v>11</v>
      </c>
      <c r="U221">
        <f>ZR_flex*S0_flex+9.36*LOG10(T221+1)-0.20+LOG10(dPSI_flex/2.7)/(0.40+1094/(T221+1)^5.19)+2.32*LOG10(MR_psi)-8.07</f>
        <v/>
      </c>
      <c r="W221" t="n">
        <v>24</v>
      </c>
      <c r="X221">
        <f>ZR_rig*S0_rig+7.35*LOG10(W221+1)-0.06+LOG10(dPSI_rig/3.0)/(1+1.624E7/(W221+1)^8.46)+(4.22-0.32*pt_rig)*LOG10((Sc_psi*Cd_rig*(W221^0.75-1.132))/(215.63*J_rig*(W221^0.75-18.42/(Ec_psi/k_pci)^0.25)))</f>
        <v/>
      </c>
    </row>
    <row r="222">
      <c r="T222" t="n">
        <v>11.05</v>
      </c>
      <c r="U222">
        <f>ZR_flex*S0_flex+9.36*LOG10(T222+1)-0.20+LOG10(dPSI_flex/2.7)/(0.40+1094/(T222+1)^5.19)+2.32*LOG10(MR_psi)-8.07</f>
        <v/>
      </c>
    </row>
    <row r="223">
      <c r="T223" t="n">
        <v>11.1</v>
      </c>
      <c r="U223">
        <f>ZR_flex*S0_flex+9.36*LOG10(T223+1)-0.20+LOG10(dPSI_flex/2.7)/(0.40+1094/(T223+1)^5.19)+2.32*LOG10(MR_psi)-8.07</f>
        <v/>
      </c>
    </row>
    <row r="224">
      <c r="T224" t="n">
        <v>11.15</v>
      </c>
      <c r="U224">
        <f>ZR_flex*S0_flex+9.36*LOG10(T224+1)-0.20+LOG10(dPSI_flex/2.7)/(0.40+1094/(T224+1)^5.19)+2.32*LOG10(MR_psi)-8.07</f>
        <v/>
      </c>
    </row>
    <row r="225">
      <c r="T225" t="n">
        <v>11.2</v>
      </c>
      <c r="U225">
        <f>ZR_flex*S0_flex+9.36*LOG10(T225+1)-0.20+LOG10(dPSI_flex/2.7)/(0.40+1094/(T225+1)^5.19)+2.32*LOG10(MR_psi)-8.07</f>
        <v/>
      </c>
    </row>
    <row r="226">
      <c r="T226" t="n">
        <v>11.25</v>
      </c>
      <c r="U226">
        <f>ZR_flex*S0_flex+9.36*LOG10(T226+1)-0.20+LOG10(dPSI_flex/2.7)/(0.40+1094/(T226+1)^5.19)+2.32*LOG10(MR_psi)-8.07</f>
        <v/>
      </c>
    </row>
    <row r="227">
      <c r="T227" t="n">
        <v>11.3</v>
      </c>
      <c r="U227">
        <f>ZR_flex*S0_flex+9.36*LOG10(T227+1)-0.20+LOG10(dPSI_flex/2.7)/(0.40+1094/(T227+1)^5.19)+2.32*LOG10(MR_psi)-8.07</f>
        <v/>
      </c>
    </row>
    <row r="228">
      <c r="T228" t="n">
        <v>11.35</v>
      </c>
      <c r="U228">
        <f>ZR_flex*S0_flex+9.36*LOG10(T228+1)-0.20+LOG10(dPSI_flex/2.7)/(0.40+1094/(T228+1)^5.19)+2.32*LOG10(MR_psi)-8.07</f>
        <v/>
      </c>
    </row>
    <row r="229">
      <c r="T229" t="n">
        <v>11.4</v>
      </c>
      <c r="U229">
        <f>ZR_flex*S0_flex+9.36*LOG10(T229+1)-0.20+LOG10(dPSI_flex/2.7)/(0.40+1094/(T229+1)^5.19)+2.32*LOG10(MR_psi)-8.07</f>
        <v/>
      </c>
    </row>
    <row r="230">
      <c r="T230" t="n">
        <v>11.45</v>
      </c>
      <c r="U230">
        <f>ZR_flex*S0_flex+9.36*LOG10(T230+1)-0.20+LOG10(dPSI_flex/2.7)/(0.40+1094/(T230+1)^5.19)+2.32*LOG10(MR_psi)-8.07</f>
        <v/>
      </c>
    </row>
    <row r="231">
      <c r="T231" t="n">
        <v>11.5</v>
      </c>
      <c r="U231">
        <f>ZR_flex*S0_flex+9.36*LOG10(T231+1)-0.20+LOG10(dPSI_flex/2.7)/(0.40+1094/(T231+1)^5.19)+2.32*LOG10(MR_psi)-8.07</f>
        <v/>
      </c>
    </row>
    <row r="232">
      <c r="T232" t="n">
        <v>11.55</v>
      </c>
      <c r="U232">
        <f>ZR_flex*S0_flex+9.36*LOG10(T232+1)-0.20+LOG10(dPSI_flex/2.7)/(0.40+1094/(T232+1)^5.19)+2.32*LOG10(MR_psi)-8.07</f>
        <v/>
      </c>
    </row>
    <row r="233">
      <c r="T233" t="n">
        <v>11.6</v>
      </c>
      <c r="U233">
        <f>ZR_flex*S0_flex+9.36*LOG10(T233+1)-0.20+LOG10(dPSI_flex/2.7)/(0.40+1094/(T233+1)^5.19)+2.32*LOG10(MR_psi)-8.07</f>
        <v/>
      </c>
    </row>
    <row r="234">
      <c r="T234" t="n">
        <v>11.65</v>
      </c>
      <c r="U234">
        <f>ZR_flex*S0_flex+9.36*LOG10(T234+1)-0.20+LOG10(dPSI_flex/2.7)/(0.40+1094/(T234+1)^5.19)+2.32*LOG10(MR_psi)-8.07</f>
        <v/>
      </c>
    </row>
    <row r="235">
      <c r="T235" t="n">
        <v>11.7</v>
      </c>
      <c r="U235">
        <f>ZR_flex*S0_flex+9.36*LOG10(T235+1)-0.20+LOG10(dPSI_flex/2.7)/(0.40+1094/(T235+1)^5.19)+2.32*LOG10(MR_psi)-8.07</f>
        <v/>
      </c>
    </row>
    <row r="236">
      <c r="T236" t="n">
        <v>11.75</v>
      </c>
      <c r="U236">
        <f>ZR_flex*S0_flex+9.36*LOG10(T236+1)-0.20+LOG10(dPSI_flex/2.7)/(0.40+1094/(T236+1)^5.19)+2.32*LOG10(MR_psi)-8.07</f>
        <v/>
      </c>
    </row>
    <row r="237">
      <c r="T237" t="n">
        <v>11.8</v>
      </c>
      <c r="U237">
        <f>ZR_flex*S0_flex+9.36*LOG10(T237+1)-0.20+LOG10(dPSI_flex/2.7)/(0.40+1094/(T237+1)^5.19)+2.32*LOG10(MR_psi)-8.07</f>
        <v/>
      </c>
    </row>
    <row r="238">
      <c r="T238" t="n">
        <v>11.85</v>
      </c>
      <c r="U238">
        <f>ZR_flex*S0_flex+9.36*LOG10(T238+1)-0.20+LOG10(dPSI_flex/2.7)/(0.40+1094/(T238+1)^5.19)+2.32*LOG10(MR_psi)-8.07</f>
        <v/>
      </c>
    </row>
    <row r="239">
      <c r="T239" t="n">
        <v>11.9</v>
      </c>
      <c r="U239">
        <f>ZR_flex*S0_flex+9.36*LOG10(T239+1)-0.20+LOG10(dPSI_flex/2.7)/(0.40+1094/(T239+1)^5.19)+2.32*LOG10(MR_psi)-8.07</f>
        <v/>
      </c>
    </row>
    <row r="240">
      <c r="T240" t="n">
        <v>11.95</v>
      </c>
      <c r="U240">
        <f>ZR_flex*S0_flex+9.36*LOG10(T240+1)-0.20+LOG10(dPSI_flex/2.7)/(0.40+1094/(T240+1)^5.19)+2.32*LOG10(MR_psi)-8.07</f>
        <v/>
      </c>
    </row>
    <row r="241">
      <c r="T241" t="n">
        <v>12</v>
      </c>
      <c r="U241">
        <f>ZR_flex*S0_flex+9.36*LOG10(T241+1)-0.20+LOG10(dPSI_flex/2.7)/(0.40+1094/(T241+1)^5.19)+2.32*LOG10(MR_psi)-8.07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2026-06-07T10:57:24Z</dcterms:created>
  <dcterms:modified xsi:type="dcterms:W3CDTF">2026-06-07T10:57:24Z</dcterms:modified>
</cp:coreProperties>
</file>